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Zagros\Desktop\screenshots\"/>
    </mc:Choice>
  </mc:AlternateContent>
  <bookViews>
    <workbookView xWindow="0" yWindow="0" windowWidth="16380" windowHeight="8190" tabRatio="500" activeTab="2"/>
  </bookViews>
  <sheets>
    <sheet name="راهنما" sheetId="1" r:id="rId1"/>
    <sheet name="تست‌ها" sheetId="2" r:id="rId2"/>
    <sheet name="خلاصه" sheetId="3" r:id="rId3"/>
  </sheet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10" i="3" l="1"/>
  <c r="C10" i="3"/>
  <c r="E10" i="3" s="1"/>
  <c r="B10" i="3"/>
  <c r="D9" i="3"/>
  <c r="C9" i="3"/>
  <c r="B9" i="3"/>
  <c r="D8" i="3"/>
  <c r="C8" i="3"/>
  <c r="B8" i="3"/>
  <c r="D7" i="3"/>
  <c r="C7" i="3"/>
  <c r="B7" i="3"/>
  <c r="D6" i="3"/>
  <c r="C6" i="3"/>
  <c r="E6" i="3" s="1"/>
  <c r="B6" i="3"/>
  <c r="D5" i="3"/>
  <c r="C5" i="3"/>
  <c r="B5" i="3"/>
  <c r="D4" i="3"/>
  <c r="C4" i="3"/>
  <c r="B4" i="3"/>
  <c r="E7" i="3" l="1"/>
  <c r="B11" i="3"/>
  <c r="E5" i="3"/>
  <c r="E9" i="3"/>
  <c r="E4" i="3"/>
  <c r="E8" i="3"/>
  <c r="D11" i="3"/>
  <c r="C11" i="3"/>
  <c r="E11" i="3" s="1"/>
  <c r="A14" i="3" l="1"/>
</calcChain>
</file>

<file path=xl/sharedStrings.xml><?xml version="1.0" encoding="utf-8"?>
<sst xmlns="http://schemas.openxmlformats.org/spreadsheetml/2006/main" count="670" uniqueCount="439">
  <si>
    <t>راهنمای تست اتوماسیون دستیار HR</t>
  </si>
  <si>
    <t>نکته درباره‌ی «رفتار مورد انتظار»:</t>
  </si>
  <si>
    <t>دسته‌بندی‌های تست:</t>
  </si>
  <si>
    <t>1) Point — سوالات عددی ساده با یک یا چند فیلتر</t>
  </si>
  <si>
    <t>2) Ranking — سوالات «کدام گروه بیشترین/کمترین ...»</t>
  </si>
  <si>
    <t>3) Policy — سوالات مربوط به قوانین و رویه‌های شرکت (RAG)</t>
  </si>
  <si>
    <t>4) Image — سوالاتی که باید عکس داشبورد هم برگردانند</t>
  </si>
  <si>
    <t>5) Edge Case — داده‌ی ناموجود یا بی‌معنی (تست صداقت سیستم)</t>
  </si>
  <si>
    <t>6) Intent Classification — سوالات مرزی بین policy و managerial/analytics</t>
  </si>
  <si>
    <t>7) Multi-Filter — ترکیب چند فیلتر همزمان (استرس‌تست)</t>
  </si>
  <si>
    <t>ردیف</t>
  </si>
  <si>
    <t>دسته‌بندی</t>
  </si>
  <si>
    <t>چه چیزی را تست می‌کند</t>
  </si>
  <si>
    <t>سوال</t>
  </si>
  <si>
    <t>رفتار مورد انتظار</t>
  </si>
  <si>
    <t>نتیجه واقعی</t>
  </si>
  <si>
    <t>وضعیت</t>
  </si>
  <si>
    <t>یادداشت</t>
  </si>
  <si>
    <t>Point</t>
  </si>
  <si>
    <t>فیلتر تک‌بعدی ساده</t>
  </si>
  <si>
    <t>نرخ ترک خدمت زنان چقدر است؟</t>
  </si>
  <si>
    <t>page=ترک خدمت، filter جنسیت=زن، بدون خطا</t>
  </si>
  <si>
    <t>میانگین حقوق کارکنان مجرد چقدر است؟</t>
  </si>
  <si>
    <t>page=حقوق و مزایا، filter وضعیت تاهل=مجرد</t>
  </si>
  <si>
    <t>شمارش ساده بدون فیلتر خاص</t>
  </si>
  <si>
    <t>تعداد کل کارکنان چقدر است؟</t>
  </si>
  <si>
    <t>عدد کل شرکت (نزدیک ۱۴۷۰)، بدون فیلتر اشتباه</t>
  </si>
  <si>
    <t>شمارش ساده با فیلتر گمراه‌کننده</t>
  </si>
  <si>
    <t>کل کارکنان زن چند نفرند؟</t>
  </si>
  <si>
    <t>page=ساختار کارکنان، Measure شمارشی ساده (نه ترک خدمت)</t>
  </si>
  <si>
    <t>چند فیلتر همزمان (۳ تایی)</t>
  </si>
  <si>
    <t>نرخ ترک خدمت زنان متأهل در واحد فروش چقدر است؟</t>
  </si>
  <si>
    <t>هر سه فیلتر با هم اعمال شود</t>
  </si>
  <si>
    <t>چند فیلتر همزمان (۴ تایی)</t>
  </si>
  <si>
    <t>نرخ ترک خدمت زنان مجرد با سابقه‌کاری کمتر از ۲ سال در واحد فروش چقدر است؟</t>
  </si>
  <si>
    <t>هر چهار فیلتر با هم اعمال شود</t>
  </si>
  <si>
    <t>فیلتر بازه‌ی سنی</t>
  </si>
  <si>
    <t>تعداد کارکنان بالای ۵۵ سال چقدر است؟</t>
  </si>
  <si>
    <t>group سنی درست map شود، بدون خطا</t>
  </si>
  <si>
    <t>فیلتر بازه‌ی حقوقی</t>
  </si>
  <si>
    <t>نرخ ترک خدمت کارکنان با حقوق بین ۴۰۰۰ تا ۶۰۰۰ چقدر است؟</t>
  </si>
  <si>
    <t>بازه حقوق درست map شود</t>
  </si>
  <si>
    <t>فیلتر سطح شغلی (متنی نه عددی)</t>
  </si>
  <si>
    <t>تعداد سرپرستان در واحد تحقیق و توسعه چند نفرند؟</t>
  </si>
  <si>
    <t>سطح شغلی=سرپرست به‌درستی به‌عنوان فیلتر متنی اعمال شود، نه عنوان شغلی</t>
  </si>
  <si>
    <t>فیلتر منفی/نبود چیزی</t>
  </si>
  <si>
    <t>چند نفر از کارکنان اضافه‌کاری ندارند؟</t>
  </si>
  <si>
    <t>فیلتر اضافه‌کاری=ندارد به‌درستی اعمال شود</t>
  </si>
  <si>
    <t>فیلتر سطح تحصیلات با نام کامل</t>
  </si>
  <si>
    <t>کارکنان زیر دیپلم در واحد تحقیق و توسعه چند نفرند؟</t>
  </si>
  <si>
    <t>مقدار کامل «زیر دیپلم / دیپلم» استفاده شود</t>
  </si>
  <si>
    <t>Measure تعریف‌نشده (باید صادقانه رد کند)</t>
  </si>
  <si>
    <t>میانگین سن کارکنان چقدر است؟</t>
  </si>
  <si>
    <t>اگر چنین Measureای نیست، خطای واضح یا رد صادقانه، نه حدس اشتباه</t>
  </si>
  <si>
    <t>Ranking</t>
  </si>
  <si>
    <t>رتبه‌بندی ساده - بیشترین</t>
  </si>
  <si>
    <t>کدام واحد سازمانی بیشترین نرخ ترک خدمت را دارد؟</t>
  </si>
  <si>
    <t>نام واحد + عدد در جمله‌ی اول، با کلمه‌ی «بیشترین»</t>
  </si>
  <si>
    <t>رتبه‌بندی ساده - کمترین</t>
  </si>
  <si>
    <t>کمترین رضایت شغلی مربوط به کدام واحد سازمانی است؟</t>
  </si>
  <si>
    <t>نام واحد + عدد، با کلمه‌ی «کمترین»</t>
  </si>
  <si>
    <t>رتبه‌بندی + فیلتر همزمان</t>
  </si>
  <si>
    <t>کدام واحد سازمانی در بین کارکنان زن بیشترین نرخ ترک خدمت را دارد؟</t>
  </si>
  <si>
    <t>group_by=واحد سازمانی و filter=جنسیت جدا از هم تشخیص داده شوند</t>
  </si>
  <si>
    <t>رتبه‌بندی با نام گمراه‌کننده</t>
  </si>
  <si>
    <t>کدام بازه حقوقی کمترین رضایت شغلی را در بین کارکنان مجرد دارد؟</t>
  </si>
  <si>
    <t>Measure باید «رضایت شغلی» باشد نه چیزی مرتبط با حقوق</t>
  </si>
  <si>
    <t>رتبه‌بندی مبهم (بدون بعد مشخص)</t>
  </si>
  <si>
    <t>کدام گروه از کارکنان بیشترین ریسک ترک خدمت را دارند؟</t>
  </si>
  <si>
    <t>باید پیش‌فرض را «واحد سازمانی» بگیرد</t>
  </si>
  <si>
    <t>رتبه‌بندی روی جدول دیگر</t>
  </si>
  <si>
    <t>کدام سطح تحصیلات بیشترین میانگین رضایت پرسنل پرریسک را دارد؟</t>
  </si>
  <si>
    <t>ترکیب Measure پیچیده + group_by بدون خطا</t>
  </si>
  <si>
    <t>Policy</t>
  </si>
  <si>
    <t>سوال ساده‌ی رویه‌ای</t>
  </si>
  <si>
    <t>ساعت کاری رسمی شرکت چقدر است؟</t>
  </si>
  <si>
    <t>پاسخ از مسیر RAG/policy، نه از Power BI</t>
  </si>
  <si>
    <t>سوال رویه‌ای دیگر</t>
  </si>
  <si>
    <t>سیاست مرخصی سالانه چیست؟</t>
  </si>
  <si>
    <t>پاسخ از مسیر policy</t>
  </si>
  <si>
    <t>قانون شرکت با کلمه‌ی فیلتر مشترک</t>
  </si>
  <si>
    <t>سیاست شرکت درباره‌ی اضافه‌کاری چیست؟</t>
  </si>
  <si>
    <t>باید policy تشخیص داده شود، نه managerial (چون «اضافه‌کاری» هم یک فیلتر داده‌ای شناخته‌شده است)</t>
  </si>
  <si>
    <t>قانون شرکت با کلمه‌ی «چگونه»</t>
  </si>
  <si>
    <t>آیین‌نامه‌ی سفرهای کاری شرکت چگونه است؟</t>
  </si>
  <si>
    <t>باید policy باشد، نه managerial</t>
  </si>
  <si>
    <t>Image</t>
  </si>
  <si>
    <t>درخواست عکس ساده</t>
  </si>
  <si>
    <t>نمودار وضعیت کلی منابع انسانی را نشان بده</t>
  </si>
  <si>
    <t>هم متن هم عکس صفحه‌ی نمای کلی برگردد</t>
  </si>
  <si>
    <t>درخواست عکس با کلمه‌ی داشبورد</t>
  </si>
  <si>
    <t>داشبورد حقوق و مزایا را نمایش بده</t>
  </si>
  <si>
    <t>هم متن هم عکس صفحه‌ی حقوق برگردد</t>
  </si>
  <si>
    <t>عکس + فیلتر رتبه‌بندی</t>
  </si>
  <si>
    <t>نمودار ریسک کارکنان بین ۲۶ تا ۳۵ سال را نشان بده</t>
  </si>
  <si>
    <t>متن با فیلتر سنی درست، عکس صفحه‌ی ریسک (توجه: فعلاً عکس بدون فیلتر است، این محدودیت شناخته‌شده است)</t>
  </si>
  <si>
    <t>Edge Case</t>
  </si>
  <si>
    <t>واحد سازمانی ساختگی</t>
  </si>
  <si>
    <t>وضعیت واحد بازاریابی محصولات فضایی را تحلیل کن</t>
  </si>
  <si>
    <t>no_data یا پیام محترمانه، بدون کرش</t>
  </si>
  <si>
    <t>عدد بی‌معنی</t>
  </si>
  <si>
    <t>رضایت شغلی کارکنان با سن ۲۰۰ سال چقدر است؟</t>
  </si>
  <si>
    <t>رفتار نرم، نه خطای خام</t>
  </si>
  <si>
    <t>داده‌ی کاملاً بی‌ربط</t>
  </si>
  <si>
    <t>رنگ مورد علاقه‌ی کارکنان چیست؟</t>
  </si>
  <si>
    <t>رد صادقانه، نه حدس نامرتبط</t>
  </si>
  <si>
    <t>دو بعد گروه‌بندی هم‌زمان (خارج از توان فعلی)</t>
  </si>
  <si>
    <t>بیشترین کارکنان زن با سابقه ۷ سال در کدام واحد و با چه عنوان شغلی هستند؟</t>
  </si>
  <si>
    <t>رفتار قابل قبول: یکی از دو بعد را انتخاب کند یا محدودیت را اعلام کند، نه خطای خام</t>
  </si>
  <si>
    <t>Intent Classification</t>
  </si>
  <si>
    <t>سوال مبهم «چطوره»</t>
  </si>
  <si>
    <t>تعادل کار و زندگی کارکنان با سفر کاری زیاد چطوره؟</t>
  </si>
  <si>
    <t>باید managerial/Power BI تشخیص داده شود، نه policy</t>
  </si>
  <si>
    <t>سوال با کلمه‌ی «راضی» بدون آمار صریح</t>
  </si>
  <si>
    <t>کارکنان با سابقه‌کاری بالا چقدر راضی هستند؟</t>
  </si>
  <si>
    <t>managerial تشخیص داده شود</t>
  </si>
  <si>
    <t>سوال پرسشی/شرطی</t>
  </si>
  <si>
    <t>آیا کارکنان اضافه‌کاری‌دار عملکرد بهتری دارند؟</t>
  </si>
  <si>
    <t>managerial تشخیص داده شود، فیلتر اضافه‌کاری درست اعمال شود</t>
  </si>
  <si>
    <t>سوال صریح ترک خدمت (نباید رگرسیون کند)</t>
  </si>
  <si>
    <t>چند نفر ترک خدمت کرده‌اند؟</t>
  </si>
  <si>
    <t>باید همچنان managerial/ترک خدمت بماند، نه ساختار کارکنان</t>
  </si>
  <si>
    <t>Multi-Filter</t>
  </si>
  <si>
    <t>دو فیلتر از دو جدول متفاوت</t>
  </si>
  <si>
    <t>چند نفر از کارکنان با تعلق شغلی عالی، حقوق بالای ۱۲۰۰۰ دارند؟</t>
  </si>
  <si>
    <t>فیلتر از employee_performance و employee_salary هم‌زمان درست کار کند</t>
  </si>
  <si>
    <t>سه فیلتر ترکیبی</t>
  </si>
  <si>
    <t>وضعیت ریسک کارکنان مجرد با سابقه‌کاری کمتر از ۲ سال را تحلیل کن</t>
  </si>
  <si>
    <t>سه فیلتر با هم روی صفحه‌ی ریسک</t>
  </si>
  <si>
    <t>فیلتر بازه‌ای دوگانه</t>
  </si>
  <si>
    <t>نرخ ترک خدمت کارکنان بالای ۵۵ سال با حقوق زیر ۴۰۰۰ دلار چقدر است؟</t>
  </si>
  <si>
    <t>گروه سنی و بازه حقوق هم‌زمان</t>
  </si>
  <si>
    <t>فیلتر آموزش در سال گذشته</t>
  </si>
  <si>
    <t>تعداد کارکنانی که سال گذشته آموزش دیده‌اند چند نفرند؟</t>
  </si>
  <si>
    <t>فیلتر «آموزش در سال گذشته» درست اعمال شود</t>
  </si>
  <si>
    <t>فیلتر آموزش با مقدار صفر</t>
  </si>
  <si>
    <t>کارکنانی که سال گذشته هیچ آموزشی ندیده‌اند چند نفرند؟</t>
  </si>
  <si>
    <t>مقدار صفر/عدمِ آموزش درست تفسیر شود</t>
  </si>
  <si>
    <t>فیلتر مستقیم سطح ریسک</t>
  </si>
  <si>
    <t>چند نفر از کارکنان واحد فروش سطح ریسک بالا دارند؟</t>
  </si>
  <si>
    <t>فیلتر سطح ریسک=بالا + واحد سازمانی با هم اعمال شود</t>
  </si>
  <si>
    <t>فیلتر منفی با واحد سازمانی</t>
  </si>
  <si>
    <t>چند نفر از کارکنان واحد بازاریابی سفر کاری ندارند؟</t>
  </si>
  <si>
    <t>دو فیلتر متنی از یک جدول</t>
  </si>
  <si>
    <t>تعداد کارکنان با سطح شغلی مدیر ارشد و سابقه‌کاری بیشتر از ۱۰ سال چند نفرند؟</t>
  </si>
  <si>
    <t>سطح شغلی + سابقه‌کاری با هم اعمال شود</t>
  </si>
  <si>
    <t>رتبه‌بندی روی عنوان شغلی</t>
  </si>
  <si>
    <t>کدام عنوان شغلی بیشترین میانگین حقوق را دارد؟</t>
  </si>
  <si>
    <t>group_by=عنوان شغلی، از لیست ۹تایی مقادیر مجاز</t>
  </si>
  <si>
    <t>رتبه‌بندی روی زمینه تحصیلات - کمترین</t>
  </si>
  <si>
    <t>کدام زمینه تحصیلی کمترین نرخ ترک خدمت را دارد؟</t>
  </si>
  <si>
    <t>group_by=زمینه تحصیلات، جهت ASC</t>
  </si>
  <si>
    <t>رتبه‌بندی روی سطح تحصیلات با نام گمراه‌کننده</t>
  </si>
  <si>
    <t>کدام سطح تحصیلات بیشترین میانگین حقوق را دارد؟</t>
  </si>
  <si>
    <t>page=حقوق و مزایا، group_by=سطح تحصیلات</t>
  </si>
  <si>
    <t>درخواست نمایش صفحه دیگر</t>
  </si>
  <si>
    <t>نمودار ساختار کارکنان را نشان بده</t>
  </si>
  <si>
    <t>عکس صفحه‌ی ساختار کارکنان + متنی مرتبط با موضوع صفحه</t>
  </si>
  <si>
    <t>درخواست با کلمه‌ی «گزارش» و «باز کن»</t>
  </si>
  <si>
    <t>گزارش ریسک ترک خدمت را باز کن</t>
  </si>
  <si>
    <t>باید مثل «نمودار»/«داشبورد» تشخیص داده شود و عکس صفحه‌ی ریسک برگردد</t>
  </si>
  <si>
    <t>فیلتر از دو جدول جدید (تعلق شغلی + سطح ریسک)</t>
  </si>
  <si>
    <t>رضایت از محیط کار کارکنان با تعلق شغلی ضعیف و سطح ریسک بالا چقدر است؟</t>
  </si>
  <si>
    <t>دو فیلتر از employee_performance و employees با هم اعمال شود</t>
  </si>
  <si>
    <t>کلمه‌ی مبهم برای Measure</t>
  </si>
  <si>
    <t>نمرات عملکرد کارکنان چقدر است؟</t>
  </si>
  <si>
    <t>باید Measure عملکرد را درست تشخیص دهد یا صادقانه رد کند، نه حدس نامرتبط</t>
  </si>
  <si>
    <t>مقایسه‌ی دوتایی (نه رتبه‌بندی چندگروهی)</t>
  </si>
  <si>
    <t>آیا زنان بیشتر از مردان ترک خدمت می‌کنند؟</t>
  </si>
  <si>
    <t>رفتار قابل قبول: دو عدد را مقایسه کند یا به‌صورت ranking دوگروهی جواب دهد، نه خطا</t>
  </si>
  <si>
    <t>سوال رویه‌ای جدید</t>
  </si>
  <si>
    <t>سیاست بازنشستگی شرکت چیست؟</t>
  </si>
  <si>
    <t>پاسخ از مسیر policy، نه Power BI</t>
  </si>
  <si>
    <t>تحصیلات + واحد</t>
  </si>
  <si>
    <t>فیلتر عددی آموزش</t>
  </si>
  <si>
    <t>نرخ ترک خدمت کارکنان با آموزش بیش از ۳ بار در سال گذشته چقدر است؟</t>
  </si>
  <si>
    <t>آموزش در سال گذشته &gt; 3 به‌درستی تفسیر شود</t>
  </si>
  <si>
    <t>سطح شغلی متنی</t>
  </si>
  <si>
    <t>میانگین حقوق کارکنان با سطح شغلی کارشناس ارشد چقدر است؟</t>
  </si>
  <si>
    <t>سطح شغلی=کارشناس ارشد، نه عنوان شغلی</t>
  </si>
  <si>
    <t>زمینه تحصیلات + اضافه‌کاری</t>
  </si>
  <si>
    <t>تعداد کارکنان با زمینه تحصیلی بازاریابی که اضافه‌کاری دارند چند نفرند؟</t>
  </si>
  <si>
    <t>دو فیلتر با هم</t>
  </si>
  <si>
    <t>تعلق شغلی متوسط</t>
  </si>
  <si>
    <t>نرخ ترک خدمت کارکنان با تعلق شغلی متوسط چقدر است؟</t>
  </si>
  <si>
    <t>مقدار متوسط درست شناسایی شود</t>
  </si>
  <si>
    <t>سابقه‌کاری + واحد</t>
  </si>
  <si>
    <t>بازه سابقه‌کاری + واحد</t>
  </si>
  <si>
    <t>بازه سنی + Measure رضایت</t>
  </si>
  <si>
    <t>میانگین رضایت از محیط کار کارکنان زیر ۲۵ سال چقدر است؟</t>
  </si>
  <si>
    <t>گروه سنی=تا ۲۵ سال</t>
  </si>
  <si>
    <t>سطح ریسک متوسط</t>
  </si>
  <si>
    <t>تعداد کارکنان با سطح ریسک متوسط چند نفرند؟</t>
  </si>
  <si>
    <t>فیلتر سطح ریسک=متوسط</t>
  </si>
  <si>
    <t>سفر کاری کم</t>
  </si>
  <si>
    <t>نرخ ترک خدمت کارکنان با سفر کاری کم چقدر است؟</t>
  </si>
  <si>
    <t>مقدار «سفرهای کاری کم»</t>
  </si>
  <si>
    <t>وضعیت تاهل نادر</t>
  </si>
  <si>
    <t>تعداد زنان مطلقه در شرکت چند نفرند؟</t>
  </si>
  <si>
    <t>جنسیت + وضعیت تاهل=مطلقه</t>
  </si>
  <si>
    <t>تعادل کار-زندگی + واحد</t>
  </si>
  <si>
    <t>میانگین سطح تعادل کار و زندگی کارکنان واحد تحقیق و توسعه چقدر است؟</t>
  </si>
  <si>
    <t>Measure تعادل کار-زندگی + فیلتر واحد</t>
  </si>
  <si>
    <t>دو فیلتر پایه</t>
  </si>
  <si>
    <t>تعداد کارکنان با سطح تحصیلات کارشناسی ارشد و جنسیت مرد چند نفرند؟</t>
  </si>
  <si>
    <t>دو فیلتر ساده با هم</t>
  </si>
  <si>
    <t>رتبه‌بندی سنی روی حقوق</t>
  </si>
  <si>
    <t>کدام گروه سنی بیشترین میانگین حقوق را دارد؟</t>
  </si>
  <si>
    <t>group_by=گروه سنی، صفحه حقوق</t>
  </si>
  <si>
    <t>رتبه‌بندی سطح شغلی - کمترین</t>
  </si>
  <si>
    <t>کدام سطح شغلی کمترین نرخ ترک خدمت را دارد؟</t>
  </si>
  <si>
    <t>group_by=سطح شغلی، جهت ASC</t>
  </si>
  <si>
    <t>رتبه‌بندی واحد روی عملکرد</t>
  </si>
  <si>
    <t>کدام واحد سازمانی بیشترین میانگین امتیاز عملکرد را دارد؟</t>
  </si>
  <si>
    <t>group_by=واحد سازمانی، صفحه رضایت</t>
  </si>
  <si>
    <t>رتبه‌بندی روی وضعیت تاهل (بعد جدید)</t>
  </si>
  <si>
    <t>کدام وضعیت تاهل بیشترین رضایت شغلی را دارد؟</t>
  </si>
  <si>
    <t>group_by=وضعیت تاهل - بعد کاملاً جدید، تا الان تست نشده</t>
  </si>
  <si>
    <t>رتبه‌بندی روی جنسیت با Measure آموزش</t>
  </si>
  <si>
    <t>کدام جنسیت بیشترین تعداد آموزش دیده در سال گذشته را دارد؟</t>
  </si>
  <si>
    <t>group_by=جنسیت + Measure عددی آموزش</t>
  </si>
  <si>
    <t>رتبه‌بندی واحد - کمترین حقوق</t>
  </si>
  <si>
    <t>کدام واحد سازمانی کمترین میانگین حقوق را دارد؟</t>
  </si>
  <si>
    <t>جهت ASC روی حقوق</t>
  </si>
  <si>
    <t>رتبه‌بندی روی سطح ریسک</t>
  </si>
  <si>
    <t>کدام سطح ریسک بیشترین تعداد کارکنان را دارد؟</t>
  </si>
  <si>
    <t>group_by=سطح ریسک - بعد جدید</t>
  </si>
  <si>
    <t>رتبه‌بندی + فیلتر جنسیت</t>
  </si>
  <si>
    <t>کدام بازه سنی کمترین نرخ ترک خدمت را در بین کارکنان مرد دارد؟</t>
  </si>
  <si>
    <t>group_by=گروه سنی + filter=جنسیت، جهت ASC</t>
  </si>
  <si>
    <t>دورکاری</t>
  </si>
  <si>
    <t>سیاست دورکاری شرکت چیست؟</t>
  </si>
  <si>
    <t>مسیر policy</t>
  </si>
  <si>
    <t>ارزیابی عملکرد</t>
  </si>
  <si>
    <t>روند ارزیابی عملکرد سالانه چگونه است؟</t>
  </si>
  <si>
    <t>مسیر policy، نه Power BI با وجود کلمه‌ی عملکرد</t>
  </si>
  <si>
    <t>مرخصی استعلاجی</t>
  </si>
  <si>
    <t>قوانین مرخصی استعلاجی چیست؟</t>
  </si>
  <si>
    <t>آیین‌نامه انضباطی</t>
  </si>
  <si>
    <t>آیین‌نامه‌ی انضباطی شرکت چیست؟</t>
  </si>
  <si>
    <t>عکس با فعل متفاوت</t>
  </si>
  <si>
    <t>عکس صفحه‌ی ترک خدمت را برایم بفرست</t>
  </si>
  <si>
    <t>کلمه‌ی «عکس»+«بفرست» شناسایی شود</t>
  </si>
  <si>
    <t>تصویر با کلمه‌ی متفاوت</t>
  </si>
  <si>
    <t>تصویر داشبورد رضایت و عملکرد را می‌خواهم</t>
  </si>
  <si>
    <t>کلمه‌ی «تصویر»+«می‌خواهم»</t>
  </si>
  <si>
    <t>صفحه با فعل نشانم بده</t>
  </si>
  <si>
    <t>صفحه‌ی ساختار کارکنان را نشانم بده</t>
  </si>
  <si>
    <t>wants_image=true برای این فعل هم</t>
  </si>
  <si>
    <t>عکس+توضیح ترکیبی</t>
  </si>
  <si>
    <t>نمای کلی منابع انسانی را به همراه نمودار توضیح بده</t>
  </si>
  <si>
    <t>هم متن توضیحی هم عکس</t>
  </si>
  <si>
    <t>فیلتر متناقض</t>
  </si>
  <si>
    <t>کارکنانی که هم زن هم مرد هستند چند نفرند؟</t>
  </si>
  <si>
    <t>رفتار نرم با تناقض منطقی، نه کرش</t>
  </si>
  <si>
    <t>ویژگی کاملاً نامرتبط</t>
  </si>
  <si>
    <t>میانگین قد کارکنان چقدر است؟</t>
  </si>
  <si>
    <t>رد صادقانه، Measure ساختگی نسازد</t>
  </si>
  <si>
    <t>واحد ساختگی (فرمول‌بندی متفاوت)</t>
  </si>
  <si>
    <t>وضعیت واحد فضایی-کاوشگری شرکت را تحلیل کن</t>
  </si>
  <si>
    <t>no_data یا پیام محترمانه</t>
  </si>
  <si>
    <t>پیام غیرسوالی</t>
  </si>
  <si>
    <t>سلام</t>
  </si>
  <si>
    <t>پاسخ مناسب/خوش‌آمد، بدون کرش یا رفتن به مسیر داده</t>
  </si>
  <si>
    <t>پیام تشکر</t>
  </si>
  <si>
    <t>ممنون از کمکت</t>
  </si>
  <si>
    <t>پاسخ مناسب، بدون تلاش برای اجرای کوئری</t>
  </si>
  <si>
    <t>مقدار عددی بی‌معنی دیگر</t>
  </si>
  <si>
    <t>کارکنان با سن منفی چند نفرند؟</t>
  </si>
  <si>
    <t>رفتار نرم</t>
  </si>
  <si>
    <t>سوال ذهنی/غیرقابل‌محاسبه</t>
  </si>
  <si>
    <t>بهترین کارمند شرکت کیست؟</t>
  </si>
  <si>
    <t>رد صادقانه، چون معیار «بهترین» تعریف‌نشده است</t>
  </si>
  <si>
    <t>تعلق شغلی + پرسش کیفی</t>
  </si>
  <si>
    <t>عملکرد کارکنان با تعلق شغلی بالا خوب است؟</t>
  </si>
  <si>
    <t>managerial، فیلتر تعلق شغلی اعمال شود</t>
  </si>
  <si>
    <t>سیاست + کلمه‌ی فیلتر داده‌ای</t>
  </si>
  <si>
    <t>سیاست شرکت درباره‌ی سطح ریسک کارکنان چیست؟</t>
  </si>
  <si>
    <t>باید policy باشد، با وجود کلمه‌ی «سطح ریسک»</t>
  </si>
  <si>
    <t>گزارش با فعل بفرست</t>
  </si>
  <si>
    <t>گزارش رضایت شغلی را برایم بفرست</t>
  </si>
  <si>
    <t>managerial + wants_image=true</t>
  </si>
  <si>
    <t>وضعیت با فعل بوده</t>
  </si>
  <si>
    <t>وضعیت آموزش کارکنان در سال گذشته چگونه بوده؟</t>
  </si>
  <si>
    <t>managerial، نه policy</t>
  </si>
  <si>
    <t>سوال سیاستی درباره‌ی داده</t>
  </si>
  <si>
    <t>آیا سیاستی برای کاهش نرخ ترک خدمت داریم؟</t>
  </si>
  <si>
    <t>policy (چون درباره‌ی رویه است، نه عدد)</t>
  </si>
  <si>
    <t>سوال شرطی دو-فیلتری</t>
  </si>
  <si>
    <t>کارکنان با اضافه‌کاری زیاد راضی‌تر هستند یا خیر؟</t>
  </si>
  <si>
    <t>managerial، فیلتر اضافه‌کاری اعمال شود</t>
  </si>
  <si>
    <t>سه فیلتر روی صفحه ترک خدمت</t>
  </si>
  <si>
    <t>نرخ ترک خدمت زنان با تحصیلات کارشناسی ارشد و سابقه بیش از ۱۰ سال چقدر است؟</t>
  </si>
  <si>
    <t>سه فیلتر هم‌زمان</t>
  </si>
  <si>
    <t>سه فیلتر شمارشی</t>
  </si>
  <si>
    <t>تعداد کارکنان مرد با اضافه‌کاری و سفر کاری زیاد در واحد فروش چند نفرند؟</t>
  </si>
  <si>
    <t>چهار فیلتر با هم (جنسیت ضمنی+۳ دیگر)</t>
  </si>
  <si>
    <t>دو فیلتر کم‌تکرار</t>
  </si>
  <si>
    <t>میانگین حقوق زنان مطلقه با سطح شغلی مدیر چقدر است؟</t>
  </si>
  <si>
    <t>وضعیت تاهل نادر + سطح شغلی</t>
  </si>
  <si>
    <t>دو جدول متفاوت</t>
  </si>
  <si>
    <t>رضایت شغلی کارکنان با سطح ریسک بالا و سابقه‌کاری کمتر از ۲ سال چقدر است؟</t>
  </si>
  <si>
    <t>سطح ریسک + سابقه‌کاری با هم</t>
  </si>
  <si>
    <t>سه فیلتر از سه جدول</t>
  </si>
  <si>
    <t>تعداد کارکنان با زمینه تحصیلی علوم پزشکی و تعلق شغلی عالی در واحد تحقیق و توسعه چند نفرند؟</t>
  </si>
  <si>
    <t>employees+employee_performance با هم</t>
  </si>
  <si>
    <t>فیلتر عددی + دسته‌ای</t>
  </si>
  <si>
    <t>فیلتر عددی آموزش=۰ همراه دو فیلتر دیگر</t>
  </si>
  <si>
    <t>Measure کمتر تست‌شده + فیلتر</t>
  </si>
  <si>
    <t>میانگین امتیاز عملکرد کارکنان زن با سطح تحصیلات دکتری چقدر است؟</t>
  </si>
  <si>
    <t>Measure عملکرد + دو فیلتر</t>
  </si>
  <si>
    <t>سطح شغلی + اضافه‌کاری + واحد</t>
  </si>
  <si>
    <t>خلاصه‌ی نتایج تست</t>
  </si>
  <si>
    <t>تعداد کل</t>
  </si>
  <si>
    <t>موفق</t>
  </si>
  <si>
    <t>ناموفق</t>
  </si>
  <si>
    <t>درصد موفقیت</t>
  </si>
  <si>
    <t>جمع کل</t>
  </si>
  <si>
    <t>میانگین حقوق ماهانه کارکنان مجرد ۵۸۸۹.۴۷ دلار است.</t>
  </si>
  <si>
    <t>در این صفحه وضعیت تاهل نداریم ولی با دکس تایید شد</t>
  </si>
  <si>
    <t>page=ساختار کارکنان، Measureدرست و عدد هم درست</t>
  </si>
  <si>
    <t xml:space="preserve">نرخ ترک خدمت برای کارکنان زن متأهل در واحد سازمانی فروش، ۱۰.۶۳٪ است. </t>
  </si>
  <si>
    <t>این مورد چون خود نرخ ترک خدمت بعنوان مژر نیست و نمودار هم بر اساس دیگر داریم. با دکس تایید شد</t>
  </si>
  <si>
    <t>در بین کارکنان زن مجرد با سابقه‌کاری ۰-۲ سال در واحد فروش، نرخ ترک خدمت ۵۹.۱% دارد.</t>
  </si>
  <si>
    <t>این مورد چون خود نرخ ترک خدمت بعنوان مژر نیست و نمودار هم بر اساس دیگر داریم ولی با دکس تست شد</t>
  </si>
  <si>
    <t>در بین گروه سنی بیشتر از ۵۵ سال، تعداد کل کارکنان ۴۷ است.</t>
  </si>
  <si>
    <t>نرخ ترک خدمت در بین کارکنانی که در بازه حقوق ۴۰۰۰ تا ۶۰۰۰ دلار قرار دارند، ۱۱.۳٪ است.</t>
  </si>
  <si>
    <t>چون در صفحه حقوق، ما مژر نرخ ترک خدمت نداریم ولی با دکس تاییده</t>
  </si>
  <si>
    <t>در بین کارکنان سطح شغلی سرپرست، تعداد کل کارکنان در واحد سازمانی تحقیق و توسعه برابر با ۱۲۹ نفر است.</t>
  </si>
  <si>
    <t>مقدار تعداد کارکنان بدون اضافه‌کاری برابر با ۱۰۵۴ نفر است.</t>
  </si>
  <si>
    <t>کل کارکنان با سطح تحصیلات زیر دیپلم و دیپلم در واحد سازمانی تحقیق و توسعه، ۱۱۵ نفر است.</t>
  </si>
  <si>
    <t>میانگین سن کارکنان برابر با ۳۶.۹۲ سال است.</t>
  </si>
  <si>
    <t xml:space="preserve">در بین واحدهای سازمانی، واحد فروش بیشترین نرخ ترک خدمت را با مقدار ۲۰.۶۳٪ دارد. </t>
  </si>
  <si>
    <t xml:space="preserve">در بین واحدهای سازمانی، واحد منابع انسانی کمترین رضایت شغلی را با مقدار ۲.۶۰۳ دارد. </t>
  </si>
  <si>
    <t>در بین واحدهای سازمانی، واحد منابع انسانی بیشترین نرخ ترک خدمت را با مقدار ۳۰٪ دارد.</t>
  </si>
  <si>
    <t xml:space="preserve">در بین بازه‌های حقوق، گروه ۸۰۰۰ تا ۱۰۰۰۰ دلار کمترین رضایت شغلی را با مقدار ۲.۶۶۷ دارد. </t>
  </si>
  <si>
    <t>در صفحه رضایت ما در مورد حقوق موردی نداریم ولی با دکس تاییده</t>
  </si>
  <si>
    <t>"در بین واحدهای سازمانی، واحد تحقیق و توسعه بیشترین درصد پرسنل پرریسک را با مقدار ۸.۴۳٪ دارد."</t>
  </si>
  <si>
    <t xml:space="preserve">فیلتر سطح تحصیلات را در صفحه ریسک نداریم. و در بین سطح تحصیلات، زیر دیپلم / دیپلم بالاترین میانگین رضایت پرسنل پرریسک را با مقدار ۲.۱۵۳۸ دارد. </t>
  </si>
  <si>
    <t>فیلتر سطح تحصیلات را در صفحه ریسک نداریم ولی با دکس تاییده</t>
  </si>
  <si>
    <t>ساعت کاری رسمی شرکت در متن مشخص نشده است و به قرارداد کاری و قوانین سازمان بستگی دارد.</t>
  </si>
  <si>
    <t>مسیر درسته</t>
  </si>
  <si>
    <t>سیاست شرکت درباره‌ی اضافه‌کاری به این صورت است که پرداخت یا جبران اضافه‌کاری مطابق سیاست‌های جبران خدمات سازمان انجام می‌شود.</t>
  </si>
  <si>
    <t>هم متن هم عکس صفحه‌ی نمای کلی برگشت</t>
  </si>
  <si>
    <t>عکس درسته و توی متن نوشته میانگین حقوق ماهانه ۶۵۰۲.۹۳۱ دلار است. که من سوال رو با صفحه شروع کردم</t>
  </si>
  <si>
    <t>تعداد پرسنل پرریسک در گروه سنی ۲۶-۳۵ سال، ۳۸ نفر است.</t>
  </si>
  <si>
    <t>فیلتر گروه سنی را در صفحه ریسک نداریم پس کل اون صفحه نشون داده میشه و  با دکس تاییده</t>
  </si>
  <si>
    <t>پیام بی ربط</t>
  </si>
  <si>
    <t>حدس نامرتبط: رضایت از محیط کار، ۲.۷۲۱ می‌باشد.</t>
  </si>
  <si>
    <t xml:space="preserve">در بین واحدهای سازمانی، در میان کارکنان زن با سابقه‌کاری ۶ تا ۱۰ سال، واحد تحقیق و توسعه بیشترین تعداد کارکنان (۱۱۴ نفر) را دارد. </t>
  </si>
  <si>
    <t>تشخیص مسیر درست: نتیجه گزارش شده نشان می‌دهد که تعادل کار و زندگی در شرایط سفرهای کاری زیاد، برابر با ۲.۷۸ است. و</t>
  </si>
  <si>
    <t xml:space="preserve"> این فیلتر توی صفحه رضایت نیست ولی با دکس تایید</t>
  </si>
  <si>
    <t>رضایت شغلی کارکنان با سابقه‌کاری بیشتر از ۱۰ سال، ۲.۷۲۹ است.</t>
  </si>
  <si>
    <t>در بین کارکنانی که اضافه‌کاری دارند، میانگین امتیاز عملکرد ۳.۱۵۶۲۵ است.</t>
  </si>
  <si>
    <t>تعداد کارکنانی که ترک خدمت کرده‌اند، ۲۳۷ است.</t>
  </si>
  <si>
    <t xml:space="preserve">در بین کارکنان با تعلق شغلی "عالی" و بازه حقوق "12000+"، تعداد کل کارکنان ۱۹ نفر است. </t>
  </si>
  <si>
    <t>کارت میانگین حقوق را در این صفحه رضایت داریم و نه فیلتر حقوق، بنابر این با دکس تایید شد</t>
  </si>
  <si>
    <t xml:space="preserve">تعداد پرسنل پرریسک در بین کارکنان مجرد با سابقه‌کاری ۰ تا ۲ سال، ۳۱ است. </t>
  </si>
  <si>
    <t>در بین کارکنانی که سن آن‌ها بیشتر از ۵۵ سال و بازه حقوق آن‌ها بین ۰ تا ۴۰۰۰ دلار است، نرخ ترک خدمت ۳۶.۳۶٪ است.</t>
  </si>
  <si>
    <t>بازه حقوق رو به صورت فیلتر در صفحه ترک خدمت نداریم ولی با دکس تایید شد</t>
  </si>
  <si>
    <t xml:space="preserve">در مجموع، تعداد کل کارکنان با آموزش در سال گذشته بیشتر از صفر، ۱۴۱۶ نفر است. </t>
  </si>
  <si>
    <t>با دکس تایید شد</t>
  </si>
  <si>
    <t>در بین کارکنان، تعداد کل کارکنان برابر با ۵۴ نفر است.</t>
  </si>
  <si>
    <t xml:space="preserve">در بین واحد سازمانی "تحقیق و توسعه"، تعداد پرسنل پرریسک برابر با ۸۱ نفر است. </t>
  </si>
  <si>
    <t>در بین کارکنان واحد سازمانی فروش که بدون سفر کاری هستند، تعداد کل کارکنان ۴۷ نفر است.</t>
  </si>
  <si>
    <t>"در بین کارکنان با سطح شغلی مدیر ارشد و سابقه‌کاری بیشتر از ۱۰ سال، تعداد کل کارکنان ۳۸ نفر است."</t>
  </si>
  <si>
    <t xml:space="preserve">در بین عنوان‌های شغلی، مدیر بیشترین میانگین حقوق ماهانه را با مقدار ۱۷۱۸۱.۶۷ دارد. </t>
  </si>
  <si>
    <t xml:space="preserve">در بین زمینه تحصیلات، سایر رشته‌ها کمترین نرخ ترک خدمت را با مقدار ۱۳.۴۱٪ دارد. </t>
  </si>
  <si>
    <t>در بین سطوح تحصیلات، دکتری بیشترین میانگین حقوق ماهانه را با مقدار ۸۲۷۷.۶۴۵ دارد.</t>
  </si>
  <si>
    <t>عکس درست و مقدار کل کارکنان، ۱۴۷۰ نفر است.</t>
  </si>
  <si>
    <t>با تصویر -تعداد پرسنل پرریسک برابر با ۱۱۲ نفر است.</t>
  </si>
  <si>
    <t>میانگین رضایت پرسنل پرریسک در میان کارکنانی که تعلق شغلی "ضعیف" و سطح ریسک "بالا" دارند، ۲.۶ است.</t>
  </si>
  <si>
    <t>میانگین امتیاز عملکرد برابر با ۳.۱۵ است.</t>
  </si>
  <si>
    <t xml:space="preserve">در بین جنسیت‌ها، مرد بالاترین نرخ ترک خدمت را با مقدار ۱۷.۰۰٪ دارد. </t>
  </si>
  <si>
    <t>متاسفانه، اطلاعاتی درباره سیاست بازنشستگی شرکت در متن موجود نیست. اگر سوال دیگری دارید یا به اطلاعات بیشتری نیاز دارید، لطفاً بفرمایید.</t>
  </si>
  <si>
    <t>درسته توی پالیسی اینو نداشتیم</t>
  </si>
  <si>
    <t>تعداد کارکنان با تحصیلات کارشناسی در واحد منابع انسانی چند نفرند؟</t>
  </si>
  <si>
    <t>سطح تحصیلات=کارشناسی + واحد=منابع انسانی</t>
  </si>
  <si>
    <t>فیلتر سفر کاری=بدون سفر کاری + واحد فروش</t>
  </si>
  <si>
    <t>در بین کارکنان واحد سازمانی منابع انسانی با سطح تحصیلات کارشناسی، تعداد کل کارکنان برابر با ۲۷ نفر است.</t>
  </si>
  <si>
    <t>نرخ ترک خدمت با مقدار ۱۴.۰۵٪ گزارش شده است.</t>
  </si>
  <si>
    <t>میانگین حقوق ماهانه برای کارکنان با سطح شغلی "کارشناس ارشد"، ۵۵۰۲.۲۷ دلار است.</t>
  </si>
  <si>
    <t xml:space="preserve">در بین کارکنان با تحصیلات در زمینه بازاریابی، تعداد کارکنان دارای اضافه‌کاری ۴۸ نفر است. </t>
  </si>
  <si>
    <t xml:space="preserve">نرخ ترک خدمت برای کارکنان با تعلق شغلی متوسط، ۱۸.۹۳٪ است. </t>
  </si>
  <si>
    <t>تعداد کارکنان با سابقه‌کاری ۳ تا ۵ سال در واحد تحقیق و توسعه چند نفرند؟</t>
  </si>
  <si>
    <t>در بین کارکنان با سابقه‌کاری ۳ تا ۵ سال در واحد سازمانی تحقیق و توسعه، تعداد کل کارکنان ۲۹۴ نفر است</t>
  </si>
  <si>
    <t>«رضایت از محیط کار برای کارکنان با گروه سنی تا ۲۵ سال، ۲.۶۸۲۹۳ است.»</t>
  </si>
  <si>
    <t>تعداد پرسنل پرریسک با سطح ریسک متوسط، ۱۱۲ نفر است.</t>
  </si>
  <si>
    <t>نرخ ترک خدمت در شرایط سفرهای کاری کم، ۱۴.۹۶٪ است.</t>
  </si>
  <si>
    <t xml:space="preserve">در بین کارکنان زن مطلقه، تعداد کل کارکنان ۱۱۷ نفر است. </t>
  </si>
  <si>
    <t>رضایت و عملکرد کارکنان در واحد تحقیق و توسعه، ۲.۷۲۵ است.</t>
  </si>
  <si>
    <t>کل کارکنان با سطح تحصیلات کارشناسی ارشد و جنسیت مرد، ۲۴۴ نفر است.</t>
  </si>
  <si>
    <t xml:space="preserve">در بین گروه سنی، گروه ۴۶-۵۵ سال بیشترین میانگین حقوق ماهانه را با مقدار ۱۰۹۲۷.۹۶ دلار دارد. </t>
  </si>
  <si>
    <t xml:space="preserve">در بین سطوح شغلی، مدیر کمترین نرخ ترک خدمت را با مقدار ۴.۷۲٪ دارد. </t>
  </si>
  <si>
    <t>در بین واحدهای سازمانی، واحد تحقیق و توسعه بیشترین میانگین امتیاز عملکرد را با مقدار ۳.۱۶۲۳۳ دارد.</t>
  </si>
  <si>
    <t>در بین وضعیت تاهل، مجرد بیشترین رضایت شغلی را با مقدار ۲.۷۷ دارد.</t>
  </si>
  <si>
    <t xml:space="preserve">در بین جنسیت‌ها، مرد بیشترین تعداد کارکنان را با مقدار ۸۸۲ نفر دارد. </t>
  </si>
  <si>
    <t>در بین واحدهای سازمانی، واحد تحقیق و توسعه کمترین میانگین حقوق ماهانه را با مقدار ۶۲۸۱.۲۵ دلار دارد.</t>
  </si>
  <si>
    <t xml:space="preserve">در بین گروه سنی، افراد ۳۶ تا ۴۵ سال کمترین نرخ ترک خدمت را با مقدار ۱۰.۶۴٪ دارد. </t>
  </si>
  <si>
    <t>سیاست دورکاری شرکت به این صورت است که امکان دورکاری برای برخی موقعیت‌های شغلی با تایید مدیر مربوطه امکان‌پذیر است. کارکنان دورکار باید وظایف محوله را طبق برنامه زمانی مشخص انجام دهند.</t>
  </si>
  <si>
    <t>قوانین مرخصی استعلاجی شامل موارد زیر است:
1. مرخصی استعلاجی برای شرایط بیماری کارکنان در نظر گرفته شده است.
2. برای استفاده از مرخصی استعلاجی، کارکنان باید مدارک پزشکی معتبر ارائه دهند.
3. تایید مرخصی استعلاجی طبق قوانین سازمان و بررسی واحد منابع انسانی انجام می‌شود. 
مدت و شرایط استفاده از مرخصی نیز بر اساس قوانین سازمان و قرارداد کاری تعیین می‌شود.</t>
  </si>
  <si>
    <t>آیین‌نامه‌ی انضباطی شرکت شامل مجموعه‌ای از سیاست‌ها و قوانین است که به رفتار و عملکرد کارکنان در محیط کار مربوط می‌شود. این آیین‌نامه شامل موارد زیر است:
1. سیاست ساعات کاری و حضور و غیاب: کارکنان موظفند ورود و خروج خود را در سیستم حضور و غیاب ثبت کنند و ساعات کاری طبق قرارداد کاری و قوانین سازمان تعیین می‌شود.
2. سیاست رفتار سازمانی کارکنان: کارکنان باید اصول رفتار حرفه‌ای، احترام متقابل و همکاری تیمی را رعایت کنند و هرگونه رفتار مغایر با قوانین سازمان باید بررسی شود.
3. سیاست اضافه کاری: انجام اضافه کاری باید با تایید مدیر مربوطه انجام شود و ساعات اضافه کاری باید در سیستم مربوطه ثبت گردد.
این آیین‌نامه به منظور حفظ انضباط و ارتقای کارایی در سازمان طراحی شده است و تمامی کارکنان موظف به رعایت آن هستند.</t>
  </si>
  <si>
    <t>عکس درست و تعداد کارکنان ترک خدمت کرده، ۲۳۷ نفر است.</t>
  </si>
  <si>
    <t>عکس درست و رضایت شغلی کارکنان ۲.۷۳ است.</t>
  </si>
  <si>
    <t>عکس درست و "کل کارکنان، ۱۴۷۰ نفر است.</t>
  </si>
  <si>
    <t>عکس درست و در بین داده‌های موجود، تعداد کل کارکنان ۱۴۷۰ نفر است.</t>
  </si>
  <si>
    <t xml:space="preserve">کل کارکنان ۱۴۷۰ نفر است. </t>
  </si>
  <si>
    <t>در بین کارکنان، تعداد کل کارکنان ۱۴۷۰ نفر است.</t>
  </si>
  <si>
    <t>نتیجه: کل کارکنان در واحد سازمانی "فضایی-کاوشگری" برابر با عدد معتبر نیست.</t>
  </si>
  <si>
    <t>سلام! چطور می‌توانم به شما کمک کنم؟</t>
  </si>
  <si>
    <t>خواهش می‌کنم! اگر سوال دیگری دارید یا نیاز به اطلاعات بیشتری دارید، خوشحال می‌شوم کمک کنم.</t>
  </si>
  <si>
    <t>مقدار کل کارکنان ۱۴۷۰ نفر است.</t>
  </si>
  <si>
    <t>«میانگین امتیاز عملکرد کارکنان با تعلق شغلی عالی، ۳.۱۴ است.»</t>
  </si>
  <si>
    <t xml:space="preserve">عکس و مقدار رضایت شغلی برابر با ۲.۷۳ است. </t>
  </si>
  <si>
    <t>مقدار میانگین امتیاز عملکرد برابر با ۳.۱۵۳۷۴۱۴۹۶۵۹۸۶۳۹۷ است.</t>
  </si>
  <si>
    <t>بله، سیاستی برای کاهش نرخ ترک خدمت داریم. واحد منابع انسانی دلایل ترک خدمت کارکنان را بررسی و تحلیل می‌کند و اطلاعات مربوط به ترک خدمت برای شناسایی مشکلات سازمانی و کاهش خروج کارکنان استفاده می‌شود. این فرآیند شامل ثبت درخواست خروج، بررسی موضوع، انجام مصاحبه خروج و تکمیل مدارک مربوطه است.</t>
  </si>
  <si>
    <t xml:space="preserve">در بین کارکنانی که اضافه‌کاری زیاد دارند، رضایت شغلی برابر با ۲.۷۷۱۶۳۴۶۱۵۳۸۴۶۱۵ است. </t>
  </si>
  <si>
    <t xml:space="preserve">در بین کارکنان زن با سطح تحصیلات کارشناسی ارشد و سابقه‌کاری بیشتر از ۱۰ سال، نرخ ترک خدمت ۱۱.76٪ است. </t>
  </si>
  <si>
    <t>در بین کارکنان مرد در واحد سازمانی فروش که دارای اضافه‌کاری و سفرهای کاری زیاد هستند، تعداد کارکنان دارای اضافه‌کاری برابر با ۱۲ نفر است.</t>
  </si>
  <si>
    <t xml:space="preserve">میانگین حقوق ماهانه کارکنان زن مطلقه با سطح شغلی مدیر، ۱۵۵۹۵.۵۵ دلار است. </t>
  </si>
  <si>
    <t>میانگین رضایت پرسنل پرریسک با سابقه‌کاری ۰-۲ سال و سطح ریسک بالا، ۲.۰۷۲ است.</t>
  </si>
  <si>
    <t>در بین کارکنان با تحصیلات در زمینه علوم پزشکی، تعلق شغلی عالی و در واحد سازمانی تحقیق و توسعه، تعداد کل کارکنان ۴۰ نفر است.</t>
  </si>
  <si>
    <t>میانگین امتیاز عملکرد در بین کارکنان زن با سطح تحصیلات دکتری، ۳.۱۸ است.</t>
  </si>
  <si>
    <t>تعداد کارکنان با سطح شغلی سرپرست و دارای اضافه‌کاری در واحد منابع انسانی چند نفرند؟</t>
  </si>
  <si>
    <t>در بین کارکنان سرپرست که در واحد سازمانی منابع انسانی مشغول به کار هستند، تعداد کارکنان دارای اضافه‌کاری برابر با ۲ نفر است.</t>
  </si>
  <si>
    <t xml:space="preserve"> با دکس تایید شد</t>
  </si>
  <si>
    <t xml:space="preserve">در بین سطح ریسک، سطح پایین بیشترین تعداد کارکنان را با مقدار ۹۶۶ نفر دارد.  </t>
  </si>
  <si>
    <t xml:space="preserve">عکس و مقدار </t>
  </si>
  <si>
    <t>عکس و مقدار</t>
  </si>
  <si>
    <t>تصویر وضعیت رضایت شغلی کارکنان زن  در واحد منابع انسانی را  نشان بده</t>
  </si>
  <si>
    <t>عکس درست و مقدار رضایت شغلی در بین کارکنان زن در واحد سازمانی منابع انسانی، ۲.۷۵ است.</t>
  </si>
  <si>
    <t>روند ارزیابی عملکرد سالانه به صورت زیر است:
1. بررسی عملکرد: عملکرد کارکنان به صورت دوره‌ای توسط مدیران و واحد منابع انسانی بررسی می‌شود.</t>
  </si>
  <si>
    <t>در متن ارائه شده، سیاست خاصی درباره‌ی سطح ریسک کارکنان ذکر نشده است. اطلاعات موجود بیشتر به سیاست‌های جبران خدمات، دورکاری، رفتار سازمانی، حقوق و مزایا، ارزیابی عملکرد و رضایت کارکنان مربوط می‌شود. اگر سوال خاصی درباره‌ی سیاست‌های دیگر دارید، لطفاً بفرمایید.</t>
  </si>
  <si>
    <t>تعداد کارکنان مجرد ترک خدمت کرده با سفر کاری زیاد و آموزش صفر بار چقدر است؟</t>
  </si>
  <si>
    <t>تعداد کارکنان مجرد ترک خدمت کرده با سفر کاری زیاد و آموزش صفر ۲ است</t>
  </si>
  <si>
    <t xml:space="preserve"> ستون «رفتار مورد انتظار» عمدتاً رفتار ساختاری سیستم را توصیف می‌کند (کدام صفحه باید انتخاب شود، کدام فیلترها باید اعمال شوند، آیا باید خطا بدهد یا نه، آیا باید عکس بیاید یا نه) نه یک عدد قطعی. برای تایید درستیِ خودِ عدد، لازم است جداگانه با یک کوئری DAX دستی (مثل کوئری‌هایی که در طول این پروژه با هم زدیم) مقدار واقعی را بررسی کنیم که هرجا با داشبورد نتیجه قابل مشاهده نبود با یک نود testو با کوئری صحت نتیجه بررسی شد.</t>
  </si>
  <si>
    <t>عدد کل شرکت ۱۴۷۰</t>
  </si>
  <si>
    <t>گزارش نهایی:</t>
  </si>
  <si>
    <t>بعد از تکمیل همه‌ی ردیف‌ها، عدد «درصد موفقیت کلی» در شیت «خلاصه» را به‌عنوان معیار کیفیت گزارش میکند، مثلاً: «اتوماسیون از بین 100 سوال متنوع، 95 مورد (95٪) را بدون خطا و با رفتار درست پاسخ داد.»</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</si>
</sst>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0">
    <font>
      <sz val="11"/>
      <color theme="1"/>
      <name val="Calibri"/>
      <family val="2"/>
      <charset val="1"/>
    </font>
    <font>
      <sz val="10"/>
      <name val="Arial"/>
      <family val="2"/>
    </font>
    <font>
      <b/>
      <sz val="14"/>
      <name val="Arial"/>
      <family val="2"/>
    </font>
    <font>
      <sz val="10"/>
      <name val="Arial"/>
      <family val="2"/>
    </font>
    <font>
      <b/>
      <sz val="10"/>
      <name val="Arial"/>
      <family val="2"/>
    </font>
    <font>
      <b/>
      <sz val="11"/>
      <color rgb="FFFFFFFF"/>
      <name val="Arial"/>
      <family val="2"/>
    </font>
    <font>
      <sz val="11"/>
      <color theme="1"/>
      <name val="FreeSans"/>
      <family val="2"/>
      <charset val="1"/>
    </font>
    <font>
      <sz val="8"/>
      <color rgb="FF000000"/>
      <name val="Segoe UI"/>
      <family val="2"/>
    </font>
    <font>
      <sz val="10"/>
      <color rgb="FF000000"/>
      <name val="Segoe UI"/>
      <family val="2"/>
    </font>
    <font>
      <sz val="10"/>
      <color theme="1"/>
      <name val="Calibri"/>
      <family val="2"/>
      <charset val="1"/>
    </font>
  </fonts>
  <fills count="4">
    <fill>
      <patternFill patternType="none"/>
    </fill>
    <fill>
      <patternFill patternType="gray125"/>
    </fill>
    <fill>
      <patternFill patternType="solid">
        <fgColor rgb="FF305496"/>
        <bgColor rgb="FF666699"/>
      </patternFill>
    </fill>
    <fill>
      <patternFill patternType="solid">
        <fgColor rgb="FFD9E1F2"/>
        <bgColor rgb="FFCCFFFF"/>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5">
    <xf numFmtId="0" fontId="0" fillId="0" borderId="0" xfId="0"/>
    <xf numFmtId="0" fontId="0" fillId="0" borderId="0" xfId="0" applyAlignment="1"/>
    <xf numFmtId="0" fontId="2" fillId="0" borderId="0" xfId="0" applyFont="1" applyAlignment="1"/>
    <xf numFmtId="0" fontId="3" fillId="0" borderId="0" xfId="0" applyFont="1" applyAlignment="1">
      <alignment horizontal="right" vertical="top" wrapText="1" readingOrder="2"/>
    </xf>
    <xf numFmtId="0" fontId="4" fillId="0" borderId="0" xfId="0" applyFont="1" applyAlignment="1">
      <alignment horizontal="right" vertical="top" wrapText="1" readingOrder="2"/>
    </xf>
    <xf numFmtId="0" fontId="5" fillId="2" borderId="1" xfId="0" applyFont="1" applyFill="1" applyBorder="1" applyAlignment="1">
      <alignment horizontal="center" vertical="center" wrapText="1"/>
    </xf>
    <xf numFmtId="0" fontId="3" fillId="0" borderId="1" xfId="0" applyFont="1" applyBorder="1" applyAlignment="1">
      <alignment horizontal="right" vertical="top" wrapText="1" readingOrder="2"/>
    </xf>
    <xf numFmtId="0" fontId="4" fillId="3" borderId="1" xfId="0" applyFont="1" applyFill="1" applyBorder="1" applyAlignment="1">
      <alignment horizontal="right" vertical="top" wrapText="1" readingOrder="2"/>
    </xf>
    <xf numFmtId="0" fontId="0" fillId="0" borderId="1" xfId="0" applyBorder="1" applyAlignment="1">
      <alignment horizontal="center" vertical="center" wrapText="1"/>
    </xf>
    <xf numFmtId="164" fontId="0" fillId="0" borderId="1" xfId="0" applyNumberFormat="1" applyBorder="1" applyAlignment="1">
      <alignment horizontal="center" vertical="center" wrapText="1"/>
    </xf>
    <xf numFmtId="0" fontId="4" fillId="3" borderId="1" xfId="0" applyFont="1" applyFill="1" applyBorder="1" applyAlignment="1">
      <alignment horizontal="center" vertical="center" wrapText="1"/>
    </xf>
    <xf numFmtId="164" fontId="4" fillId="3" borderId="1" xfId="0" applyNumberFormat="1" applyFont="1" applyFill="1" applyBorder="1" applyAlignment="1">
      <alignment horizontal="center" vertical="center" wrapText="1"/>
    </xf>
    <xf numFmtId="0" fontId="4" fillId="0" borderId="0" xfId="0" applyFont="1" applyAlignment="1"/>
    <xf numFmtId="0" fontId="1" fillId="0" borderId="1" xfId="0" applyFont="1" applyBorder="1" applyAlignment="1">
      <alignment horizontal="right" vertical="top" wrapText="1" readingOrder="2"/>
    </xf>
    <xf numFmtId="0" fontId="7" fillId="0" borderId="0" xfId="0" applyFont="1"/>
    <xf numFmtId="0" fontId="7" fillId="0" borderId="0" xfId="0" applyFont="1" applyAlignment="1">
      <alignment wrapText="1"/>
    </xf>
    <xf numFmtId="0" fontId="0" fillId="0" borderId="0" xfId="0" applyAlignment="1">
      <alignment wrapText="1"/>
    </xf>
    <xf numFmtId="0" fontId="8" fillId="0" borderId="0" xfId="0" applyFont="1" applyAlignment="1">
      <alignment wrapText="1"/>
    </xf>
    <xf numFmtId="0" fontId="9" fillId="0" borderId="0" xfId="0" applyFont="1" applyAlignment="1">
      <alignment wrapText="1"/>
    </xf>
    <xf numFmtId="0" fontId="9" fillId="0" borderId="0" xfId="0" applyFont="1" applyAlignment="1"/>
    <xf numFmtId="0" fontId="1" fillId="0" borderId="1" xfId="0" applyFont="1" applyFill="1" applyBorder="1" applyAlignment="1">
      <alignment horizontal="right" vertical="top" wrapText="1" readingOrder="2"/>
    </xf>
    <xf numFmtId="0" fontId="7" fillId="0" borderId="0" xfId="0" applyFont="1" applyFill="1" applyAlignment="1">
      <alignment wrapText="1"/>
    </xf>
    <xf numFmtId="0" fontId="3" fillId="0" borderId="1" xfId="0" applyFont="1" applyFill="1" applyBorder="1" applyAlignment="1">
      <alignment horizontal="right" vertical="top" wrapText="1" readingOrder="2"/>
    </xf>
    <xf numFmtId="0" fontId="6" fillId="0" borderId="0" xfId="0" applyFont="1" applyBorder="1" applyAlignment="1">
      <alignment horizontal="right" vertical="top" wrapText="1" readingOrder="2"/>
    </xf>
    <xf numFmtId="0" fontId="1" fillId="0" borderId="0" xfId="0" applyFont="1" applyAlignment="1">
      <alignment horizontal="right" vertical="top" wrapText="1" readingOrder="2"/>
    </xf>
  </cellXfs>
  <cellStyles count="1">
    <cellStyle name="Normal" xfId="0" builtinId="0"/>
  </cellStyles>
  <dxfs count="1">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6"/>
  <sheetViews>
    <sheetView rightToLeft="1" topLeftCell="A4" zoomScaleNormal="100" workbookViewId="0">
      <selection activeCell="A12" sqref="A12"/>
    </sheetView>
  </sheetViews>
  <sheetFormatPr defaultColWidth="8.6328125" defaultRowHeight="14.5"/>
  <cols>
    <col min="1" max="1" width="100" style="1" customWidth="1"/>
  </cols>
  <sheetData>
    <row r="1" spans="1:1" ht="16.5" customHeight="1">
      <c r="A1" s="2" t="s">
        <v>0</v>
      </c>
    </row>
    <row r="2" spans="1:1" ht="15" customHeight="1">
      <c r="A2" s="3"/>
    </row>
    <row r="3" spans="1:1" ht="15" customHeight="1">
      <c r="A3" s="4" t="s">
        <v>1</v>
      </c>
    </row>
    <row r="4" spans="1:1" ht="49" customHeight="1">
      <c r="A4" s="24" t="s">
        <v>435</v>
      </c>
    </row>
    <row r="5" spans="1:1" ht="15" customHeight="1">
      <c r="A5" s="3"/>
    </row>
    <row r="6" spans="1:1" ht="15" customHeight="1">
      <c r="A6" s="4" t="s">
        <v>437</v>
      </c>
    </row>
    <row r="7" spans="1:1" ht="29.5" customHeight="1">
      <c r="A7" s="24" t="s">
        <v>438</v>
      </c>
    </row>
    <row r="8" spans="1:1" ht="15" customHeight="1">
      <c r="A8" s="3"/>
    </row>
    <row r="9" spans="1:1" ht="15" customHeight="1">
      <c r="A9" s="4" t="s">
        <v>2</v>
      </c>
    </row>
    <row r="10" spans="1:1" ht="15" customHeight="1">
      <c r="A10" s="3" t="s">
        <v>3</v>
      </c>
    </row>
    <row r="11" spans="1:1" ht="15" customHeight="1">
      <c r="A11" s="3" t="s">
        <v>4</v>
      </c>
    </row>
    <row r="12" spans="1:1" ht="15" customHeight="1">
      <c r="A12" s="3" t="s">
        <v>5</v>
      </c>
    </row>
    <row r="13" spans="1:1" ht="15" customHeight="1">
      <c r="A13" s="3" t="s">
        <v>6</v>
      </c>
    </row>
    <row r="14" spans="1:1" ht="15" customHeight="1">
      <c r="A14" s="3" t="s">
        <v>7</v>
      </c>
    </row>
    <row r="15" spans="1:1" ht="15" customHeight="1">
      <c r="A15" s="3" t="s">
        <v>8</v>
      </c>
    </row>
    <row r="16" spans="1:1" ht="15" customHeight="1">
      <c r="A16" s="3" t="s">
        <v>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rightToLeft="1" topLeftCell="C1" zoomScale="87" zoomScaleNormal="87" workbookViewId="0">
      <pane ySplit="1" topLeftCell="A98" activePane="bottomLeft" state="frozen"/>
      <selection pane="bottomLeft" activeCell="F86" sqref="F86"/>
    </sheetView>
  </sheetViews>
  <sheetFormatPr defaultColWidth="8.6328125" defaultRowHeight="14.5"/>
  <cols>
    <col min="1" max="1" width="6" style="1" customWidth="1"/>
    <col min="2" max="2" width="16" style="1" customWidth="1"/>
    <col min="3" max="3" width="26" style="1" customWidth="1"/>
    <col min="4" max="4" width="34" style="1" customWidth="1"/>
    <col min="5" max="5" width="40" style="1" customWidth="1"/>
    <col min="6" max="6" width="34" style="19" customWidth="1"/>
    <col min="7" max="7" width="14" style="1" customWidth="1"/>
    <col min="8" max="8" width="30" style="1" customWidth="1"/>
  </cols>
  <sheetData>
    <row r="1" spans="1:8">
      <c r="A1" s="5" t="s">
        <v>10</v>
      </c>
      <c r="B1" s="5" t="s">
        <v>11</v>
      </c>
      <c r="C1" s="5" t="s">
        <v>12</v>
      </c>
      <c r="D1" s="5" t="s">
        <v>13</v>
      </c>
      <c r="E1" s="5" t="s">
        <v>14</v>
      </c>
      <c r="F1" s="5" t="s">
        <v>15</v>
      </c>
      <c r="G1" s="5" t="s">
        <v>16</v>
      </c>
      <c r="H1" s="5" t="s">
        <v>17</v>
      </c>
    </row>
    <row r="2" spans="1:8">
      <c r="A2" s="6">
        <v>1</v>
      </c>
      <c r="B2" s="7" t="s">
        <v>18</v>
      </c>
      <c r="C2" s="6" t="s">
        <v>19</v>
      </c>
      <c r="D2" s="6" t="s">
        <v>20</v>
      </c>
      <c r="E2" s="6" t="s">
        <v>21</v>
      </c>
      <c r="F2" s="13" t="s">
        <v>21</v>
      </c>
      <c r="G2" s="13" t="s">
        <v>314</v>
      </c>
      <c r="H2" s="13"/>
    </row>
    <row r="3" spans="1:8" ht="32">
      <c r="A3" s="6">
        <v>2</v>
      </c>
      <c r="B3" s="7" t="s">
        <v>18</v>
      </c>
      <c r="C3" s="6" t="s">
        <v>19</v>
      </c>
      <c r="D3" s="6" t="s">
        <v>22</v>
      </c>
      <c r="E3" s="6" t="s">
        <v>23</v>
      </c>
      <c r="F3" s="17" t="s">
        <v>318</v>
      </c>
      <c r="G3" s="13" t="s">
        <v>314</v>
      </c>
      <c r="H3" s="13" t="s">
        <v>319</v>
      </c>
    </row>
    <row r="4" spans="1:8">
      <c r="A4" s="6">
        <v>3</v>
      </c>
      <c r="B4" s="7" t="s">
        <v>18</v>
      </c>
      <c r="C4" s="6" t="s">
        <v>24</v>
      </c>
      <c r="D4" s="6" t="s">
        <v>25</v>
      </c>
      <c r="E4" s="13" t="s">
        <v>26</v>
      </c>
      <c r="F4" s="13" t="s">
        <v>436</v>
      </c>
      <c r="G4" s="13" t="s">
        <v>314</v>
      </c>
      <c r="H4" s="13"/>
    </row>
    <row r="5" spans="1:8" ht="25">
      <c r="A5" s="6">
        <v>4</v>
      </c>
      <c r="B5" s="7" t="s">
        <v>18</v>
      </c>
      <c r="C5" s="6" t="s">
        <v>27</v>
      </c>
      <c r="D5" s="6" t="s">
        <v>28</v>
      </c>
      <c r="E5" s="6" t="s">
        <v>29</v>
      </c>
      <c r="F5" s="13" t="s">
        <v>320</v>
      </c>
      <c r="G5" s="13" t="s">
        <v>314</v>
      </c>
      <c r="H5" s="13"/>
    </row>
    <row r="6" spans="1:8" ht="37.5">
      <c r="A6" s="6">
        <v>5</v>
      </c>
      <c r="B6" s="7" t="s">
        <v>18</v>
      </c>
      <c r="C6" s="6" t="s">
        <v>30</v>
      </c>
      <c r="D6" s="6" t="s">
        <v>31</v>
      </c>
      <c r="E6" s="6" t="s">
        <v>32</v>
      </c>
      <c r="F6" s="17" t="s">
        <v>321</v>
      </c>
      <c r="G6" s="13" t="s">
        <v>314</v>
      </c>
      <c r="H6" s="13" t="s">
        <v>322</v>
      </c>
    </row>
    <row r="7" spans="1:8" ht="48">
      <c r="A7" s="6">
        <v>6</v>
      </c>
      <c r="B7" s="7" t="s">
        <v>18</v>
      </c>
      <c r="C7" s="6" t="s">
        <v>33</v>
      </c>
      <c r="D7" s="6" t="s">
        <v>34</v>
      </c>
      <c r="E7" s="6" t="s">
        <v>35</v>
      </c>
      <c r="F7" s="17" t="s">
        <v>323</v>
      </c>
      <c r="G7" s="13" t="s">
        <v>314</v>
      </c>
      <c r="H7" s="13" t="s">
        <v>324</v>
      </c>
    </row>
    <row r="8" spans="1:8" ht="32">
      <c r="A8" s="6">
        <v>7</v>
      </c>
      <c r="B8" s="7" t="s">
        <v>18</v>
      </c>
      <c r="C8" s="6" t="s">
        <v>36</v>
      </c>
      <c r="D8" s="6" t="s">
        <v>37</v>
      </c>
      <c r="E8" s="6" t="s">
        <v>38</v>
      </c>
      <c r="F8" s="17" t="s">
        <v>325</v>
      </c>
      <c r="G8" s="13" t="s">
        <v>314</v>
      </c>
      <c r="H8" s="13"/>
    </row>
    <row r="9" spans="1:8" ht="32">
      <c r="A9" s="6">
        <v>8</v>
      </c>
      <c r="B9" s="7" t="s">
        <v>18</v>
      </c>
      <c r="C9" s="6" t="s">
        <v>39</v>
      </c>
      <c r="D9" s="6" t="s">
        <v>40</v>
      </c>
      <c r="E9" s="6" t="s">
        <v>41</v>
      </c>
      <c r="F9" s="17" t="s">
        <v>326</v>
      </c>
      <c r="G9" s="13" t="s">
        <v>314</v>
      </c>
      <c r="H9" s="13" t="s">
        <v>327</v>
      </c>
    </row>
    <row r="10" spans="1:8" ht="48">
      <c r="A10" s="6">
        <v>9</v>
      </c>
      <c r="B10" s="7" t="s">
        <v>18</v>
      </c>
      <c r="C10" s="6" t="s">
        <v>42</v>
      </c>
      <c r="D10" s="6" t="s">
        <v>43</v>
      </c>
      <c r="E10" s="6" t="s">
        <v>44</v>
      </c>
      <c r="F10" s="17" t="s">
        <v>328</v>
      </c>
      <c r="G10" s="13" t="s">
        <v>314</v>
      </c>
      <c r="H10" s="13"/>
    </row>
    <row r="11" spans="1:8" ht="32">
      <c r="A11" s="6">
        <v>10</v>
      </c>
      <c r="B11" s="7" t="s">
        <v>18</v>
      </c>
      <c r="C11" s="6" t="s">
        <v>45</v>
      </c>
      <c r="D11" s="6" t="s">
        <v>46</v>
      </c>
      <c r="E11" s="6" t="s">
        <v>47</v>
      </c>
      <c r="F11" s="17" t="s">
        <v>329</v>
      </c>
      <c r="G11" s="13" t="s">
        <v>314</v>
      </c>
      <c r="H11" s="13"/>
    </row>
    <row r="12" spans="1:8" ht="48">
      <c r="A12" s="6">
        <v>11</v>
      </c>
      <c r="B12" s="7" t="s">
        <v>18</v>
      </c>
      <c r="C12" s="6" t="s">
        <v>48</v>
      </c>
      <c r="D12" s="6" t="s">
        <v>49</v>
      </c>
      <c r="E12" s="6" t="s">
        <v>50</v>
      </c>
      <c r="F12" s="17" t="s">
        <v>330</v>
      </c>
      <c r="G12" s="13" t="s">
        <v>314</v>
      </c>
      <c r="H12" s="13"/>
    </row>
    <row r="13" spans="1:8" ht="25">
      <c r="A13" s="6">
        <v>12</v>
      </c>
      <c r="B13" s="7" t="s">
        <v>18</v>
      </c>
      <c r="C13" s="6" t="s">
        <v>51</v>
      </c>
      <c r="D13" s="6" t="s">
        <v>52</v>
      </c>
      <c r="E13" s="6" t="s">
        <v>53</v>
      </c>
      <c r="F13" s="17" t="s">
        <v>331</v>
      </c>
      <c r="G13" s="13" t="s">
        <v>314</v>
      </c>
      <c r="H13" s="13"/>
    </row>
    <row r="14" spans="1:8" ht="48">
      <c r="A14" s="6">
        <v>13</v>
      </c>
      <c r="B14" s="7" t="s">
        <v>54</v>
      </c>
      <c r="C14" s="6" t="s">
        <v>55</v>
      </c>
      <c r="D14" s="6" t="s">
        <v>56</v>
      </c>
      <c r="E14" s="6" t="s">
        <v>57</v>
      </c>
      <c r="F14" s="17" t="s">
        <v>332</v>
      </c>
      <c r="G14" s="13" t="s">
        <v>314</v>
      </c>
      <c r="H14" s="13"/>
    </row>
    <row r="15" spans="1:8" ht="48">
      <c r="A15" s="6">
        <v>14</v>
      </c>
      <c r="B15" s="7" t="s">
        <v>54</v>
      </c>
      <c r="C15" s="6" t="s">
        <v>58</v>
      </c>
      <c r="D15" s="6" t="s">
        <v>59</v>
      </c>
      <c r="E15" s="6" t="s">
        <v>60</v>
      </c>
      <c r="F15" s="17" t="s">
        <v>333</v>
      </c>
      <c r="G15" s="13" t="s">
        <v>314</v>
      </c>
      <c r="H15" s="13"/>
    </row>
    <row r="16" spans="1:8" ht="48">
      <c r="A16" s="6">
        <v>15</v>
      </c>
      <c r="B16" s="7" t="s">
        <v>54</v>
      </c>
      <c r="C16" s="6" t="s">
        <v>61</v>
      </c>
      <c r="D16" s="6" t="s">
        <v>62</v>
      </c>
      <c r="E16" s="6" t="s">
        <v>63</v>
      </c>
      <c r="F16" s="17" t="s">
        <v>334</v>
      </c>
      <c r="G16" s="13" t="s">
        <v>314</v>
      </c>
      <c r="H16" s="13"/>
    </row>
    <row r="17" spans="1:8" ht="25">
      <c r="A17" s="6">
        <v>16</v>
      </c>
      <c r="B17" s="7" t="s">
        <v>54</v>
      </c>
      <c r="C17" s="6" t="s">
        <v>64</v>
      </c>
      <c r="D17" s="6" t="s">
        <v>65</v>
      </c>
      <c r="E17" s="6" t="s">
        <v>66</v>
      </c>
      <c r="F17" s="13" t="s">
        <v>335</v>
      </c>
      <c r="G17" s="13" t="s">
        <v>314</v>
      </c>
      <c r="H17" s="13" t="s">
        <v>336</v>
      </c>
    </row>
    <row r="18" spans="1:8" ht="48">
      <c r="A18" s="6">
        <v>17</v>
      </c>
      <c r="B18" s="7" t="s">
        <v>54</v>
      </c>
      <c r="C18" s="6" t="s">
        <v>67</v>
      </c>
      <c r="D18" s="6" t="s">
        <v>68</v>
      </c>
      <c r="E18" s="6" t="s">
        <v>69</v>
      </c>
      <c r="F18" s="17" t="s">
        <v>337</v>
      </c>
      <c r="G18" s="13" t="s">
        <v>314</v>
      </c>
      <c r="H18" s="13"/>
    </row>
    <row r="19" spans="1:8" ht="50">
      <c r="A19" s="6">
        <v>18</v>
      </c>
      <c r="B19" s="7" t="s">
        <v>54</v>
      </c>
      <c r="C19" s="6" t="s">
        <v>70</v>
      </c>
      <c r="D19" s="6" t="s">
        <v>71</v>
      </c>
      <c r="E19" s="6" t="s">
        <v>72</v>
      </c>
      <c r="F19" s="13" t="s">
        <v>338</v>
      </c>
      <c r="G19" s="13" t="s">
        <v>314</v>
      </c>
      <c r="H19" s="13" t="s">
        <v>339</v>
      </c>
    </row>
    <row r="20" spans="1:8" ht="26.5">
      <c r="A20" s="6">
        <v>19</v>
      </c>
      <c r="B20" s="7" t="s">
        <v>73</v>
      </c>
      <c r="C20" s="6" t="s">
        <v>74</v>
      </c>
      <c r="D20" s="6" t="s">
        <v>75</v>
      </c>
      <c r="E20" s="6" t="s">
        <v>76</v>
      </c>
      <c r="F20" s="18" t="s">
        <v>340</v>
      </c>
      <c r="G20" s="13" t="s">
        <v>314</v>
      </c>
      <c r="H20" s="13" t="s">
        <v>341</v>
      </c>
    </row>
    <row r="21" spans="1:8">
      <c r="A21" s="6">
        <v>20</v>
      </c>
      <c r="B21" s="7" t="s">
        <v>73</v>
      </c>
      <c r="C21" s="6" t="s">
        <v>77</v>
      </c>
      <c r="D21" s="6" t="s">
        <v>78</v>
      </c>
      <c r="E21" s="6" t="s">
        <v>79</v>
      </c>
      <c r="F21" s="13" t="s">
        <v>79</v>
      </c>
      <c r="G21" s="13" t="s">
        <v>314</v>
      </c>
      <c r="H21" s="13" t="s">
        <v>341</v>
      </c>
    </row>
    <row r="22" spans="1:8" ht="39.5">
      <c r="A22" s="6">
        <v>21</v>
      </c>
      <c r="B22" s="7" t="s">
        <v>73</v>
      </c>
      <c r="C22" s="6" t="s">
        <v>80</v>
      </c>
      <c r="D22" s="6" t="s">
        <v>81</v>
      </c>
      <c r="E22" s="6" t="s">
        <v>82</v>
      </c>
      <c r="F22" s="18" t="s">
        <v>342</v>
      </c>
      <c r="G22" s="13" t="s">
        <v>314</v>
      </c>
      <c r="H22" s="13"/>
    </row>
    <row r="23" spans="1:8">
      <c r="A23" s="6">
        <v>22</v>
      </c>
      <c r="B23" s="7" t="s">
        <v>73</v>
      </c>
      <c r="C23" s="6" t="s">
        <v>83</v>
      </c>
      <c r="D23" s="6" t="s">
        <v>84</v>
      </c>
      <c r="E23" s="6" t="s">
        <v>85</v>
      </c>
      <c r="F23" s="13" t="s">
        <v>79</v>
      </c>
      <c r="G23" s="13" t="s">
        <v>314</v>
      </c>
      <c r="H23" s="13"/>
    </row>
    <row r="24" spans="1:8">
      <c r="A24" s="6">
        <v>23</v>
      </c>
      <c r="B24" s="7" t="s">
        <v>86</v>
      </c>
      <c r="C24" s="6" t="s">
        <v>87</v>
      </c>
      <c r="D24" s="6" t="s">
        <v>88</v>
      </c>
      <c r="E24" s="6" t="s">
        <v>89</v>
      </c>
      <c r="F24" s="13" t="s">
        <v>343</v>
      </c>
      <c r="G24" s="13" t="s">
        <v>314</v>
      </c>
      <c r="H24" s="13"/>
    </row>
    <row r="25" spans="1:8" ht="37.5">
      <c r="A25" s="6">
        <v>24</v>
      </c>
      <c r="B25" s="7" t="s">
        <v>86</v>
      </c>
      <c r="C25" s="6" t="s">
        <v>90</v>
      </c>
      <c r="D25" s="6" t="s">
        <v>91</v>
      </c>
      <c r="E25" s="6" t="s">
        <v>92</v>
      </c>
      <c r="F25" s="13" t="s">
        <v>344</v>
      </c>
      <c r="G25" s="13" t="s">
        <v>314</v>
      </c>
      <c r="H25" s="13"/>
    </row>
    <row r="26" spans="1:8" ht="37.5">
      <c r="A26" s="6">
        <v>25</v>
      </c>
      <c r="B26" s="7" t="s">
        <v>86</v>
      </c>
      <c r="C26" s="6" t="s">
        <v>93</v>
      </c>
      <c r="D26" s="6" t="s">
        <v>94</v>
      </c>
      <c r="E26" s="6" t="s">
        <v>95</v>
      </c>
      <c r="F26" s="13" t="s">
        <v>345</v>
      </c>
      <c r="G26" s="13" t="s">
        <v>314</v>
      </c>
      <c r="H26" s="13" t="s">
        <v>346</v>
      </c>
    </row>
    <row r="27" spans="1:8" ht="25">
      <c r="A27" s="6">
        <v>26</v>
      </c>
      <c r="B27" s="7" t="s">
        <v>96</v>
      </c>
      <c r="C27" s="6" t="s">
        <v>97</v>
      </c>
      <c r="D27" s="6" t="s">
        <v>98</v>
      </c>
      <c r="E27" s="6" t="s">
        <v>99</v>
      </c>
      <c r="F27" s="13" t="s">
        <v>347</v>
      </c>
      <c r="G27" s="13" t="s">
        <v>314</v>
      </c>
      <c r="H27" s="13"/>
    </row>
    <row r="28" spans="1:8">
      <c r="A28" s="6">
        <v>27</v>
      </c>
      <c r="B28" s="7" t="s">
        <v>96</v>
      </c>
      <c r="C28" s="6" t="s">
        <v>100</v>
      </c>
      <c r="D28" s="6" t="s">
        <v>101</v>
      </c>
      <c r="E28" s="6" t="s">
        <v>102</v>
      </c>
      <c r="F28" s="13" t="s">
        <v>347</v>
      </c>
      <c r="G28" s="13" t="s">
        <v>314</v>
      </c>
      <c r="H28" s="13"/>
    </row>
    <row r="29" spans="1:8" ht="25">
      <c r="A29" s="6">
        <v>28</v>
      </c>
      <c r="B29" s="7" t="s">
        <v>96</v>
      </c>
      <c r="C29" s="6" t="s">
        <v>103</v>
      </c>
      <c r="D29" s="6" t="s">
        <v>104</v>
      </c>
      <c r="E29" s="6" t="s">
        <v>105</v>
      </c>
      <c r="F29" s="13" t="s">
        <v>348</v>
      </c>
      <c r="G29" s="13" t="s">
        <v>314</v>
      </c>
      <c r="H29" s="13"/>
    </row>
    <row r="30" spans="1:8" ht="64">
      <c r="A30" s="6">
        <v>29</v>
      </c>
      <c r="B30" s="7" t="s">
        <v>96</v>
      </c>
      <c r="C30" s="6" t="s">
        <v>106</v>
      </c>
      <c r="D30" s="6" t="s">
        <v>107</v>
      </c>
      <c r="E30" s="6" t="s">
        <v>108</v>
      </c>
      <c r="F30" s="17" t="s">
        <v>349</v>
      </c>
      <c r="G30" s="13" t="s">
        <v>314</v>
      </c>
      <c r="H30" s="16"/>
    </row>
    <row r="31" spans="1:8" ht="37.5">
      <c r="A31" s="6">
        <v>30</v>
      </c>
      <c r="B31" s="7" t="s">
        <v>109</v>
      </c>
      <c r="C31" s="6" t="s">
        <v>110</v>
      </c>
      <c r="D31" s="6" t="s">
        <v>111</v>
      </c>
      <c r="E31" s="6" t="s">
        <v>112</v>
      </c>
      <c r="F31" s="13" t="s">
        <v>350</v>
      </c>
      <c r="G31" s="13" t="s">
        <v>314</v>
      </c>
      <c r="H31" s="13" t="s">
        <v>351</v>
      </c>
    </row>
    <row r="32" spans="1:8" ht="32">
      <c r="A32" s="6">
        <v>31</v>
      </c>
      <c r="B32" s="7" t="s">
        <v>109</v>
      </c>
      <c r="C32" s="6" t="s">
        <v>113</v>
      </c>
      <c r="D32" s="6" t="s">
        <v>114</v>
      </c>
      <c r="E32" s="6" t="s">
        <v>115</v>
      </c>
      <c r="F32" s="17" t="s">
        <v>352</v>
      </c>
      <c r="G32" s="13" t="s">
        <v>314</v>
      </c>
      <c r="H32" s="13"/>
    </row>
    <row r="33" spans="1:8" ht="32">
      <c r="A33" s="6">
        <v>32</v>
      </c>
      <c r="B33" s="7" t="s">
        <v>109</v>
      </c>
      <c r="C33" s="6" t="s">
        <v>116</v>
      </c>
      <c r="D33" s="6" t="s">
        <v>117</v>
      </c>
      <c r="E33" s="6" t="s">
        <v>118</v>
      </c>
      <c r="F33" s="17" t="s">
        <v>353</v>
      </c>
      <c r="G33" s="13" t="s">
        <v>314</v>
      </c>
      <c r="H33" s="13"/>
    </row>
    <row r="34" spans="1:8" ht="32">
      <c r="A34" s="6">
        <v>33</v>
      </c>
      <c r="B34" s="7" t="s">
        <v>109</v>
      </c>
      <c r="C34" s="6" t="s">
        <v>119</v>
      </c>
      <c r="D34" s="6" t="s">
        <v>120</v>
      </c>
      <c r="E34" s="6" t="s">
        <v>121</v>
      </c>
      <c r="F34" s="17" t="s">
        <v>354</v>
      </c>
      <c r="G34" s="13" t="s">
        <v>314</v>
      </c>
      <c r="H34" s="13"/>
    </row>
    <row r="35" spans="1:8" ht="48">
      <c r="A35" s="6">
        <v>34</v>
      </c>
      <c r="B35" s="7" t="s">
        <v>122</v>
      </c>
      <c r="C35" s="6" t="s">
        <v>123</v>
      </c>
      <c r="D35" s="6" t="s">
        <v>124</v>
      </c>
      <c r="E35" s="6" t="s">
        <v>125</v>
      </c>
      <c r="F35" s="17" t="s">
        <v>355</v>
      </c>
      <c r="G35" s="13" t="s">
        <v>314</v>
      </c>
      <c r="H35" s="13" t="s">
        <v>356</v>
      </c>
    </row>
    <row r="36" spans="1:8" ht="32">
      <c r="A36" s="6">
        <v>35</v>
      </c>
      <c r="B36" s="7" t="s">
        <v>122</v>
      </c>
      <c r="C36" s="6" t="s">
        <v>126</v>
      </c>
      <c r="D36" s="6" t="s">
        <v>127</v>
      </c>
      <c r="E36" s="6" t="s">
        <v>128</v>
      </c>
      <c r="F36" s="17" t="s">
        <v>357</v>
      </c>
      <c r="G36" s="13" t="s">
        <v>314</v>
      </c>
      <c r="H36" s="13"/>
    </row>
    <row r="37" spans="1:8" ht="48">
      <c r="A37" s="6">
        <v>36</v>
      </c>
      <c r="B37" s="7" t="s">
        <v>122</v>
      </c>
      <c r="C37" s="6" t="s">
        <v>129</v>
      </c>
      <c r="D37" s="6" t="s">
        <v>130</v>
      </c>
      <c r="E37" s="6" t="s">
        <v>131</v>
      </c>
      <c r="F37" s="17" t="s">
        <v>358</v>
      </c>
      <c r="G37" s="13" t="s">
        <v>314</v>
      </c>
      <c r="H37" s="13" t="s">
        <v>359</v>
      </c>
    </row>
    <row r="38" spans="1:8" ht="32">
      <c r="A38" s="6">
        <v>37</v>
      </c>
      <c r="B38" s="7" t="s">
        <v>18</v>
      </c>
      <c r="C38" s="6" t="s">
        <v>132</v>
      </c>
      <c r="D38" s="6" t="s">
        <v>133</v>
      </c>
      <c r="E38" s="6" t="s">
        <v>134</v>
      </c>
      <c r="F38" s="17" t="s">
        <v>360</v>
      </c>
      <c r="G38" s="13" t="s">
        <v>314</v>
      </c>
      <c r="H38" s="13" t="s">
        <v>361</v>
      </c>
    </row>
    <row r="39" spans="1:8" ht="32">
      <c r="A39" s="6">
        <v>38</v>
      </c>
      <c r="B39" s="7" t="s">
        <v>18</v>
      </c>
      <c r="C39" s="6" t="s">
        <v>135</v>
      </c>
      <c r="D39" s="6" t="s">
        <v>136</v>
      </c>
      <c r="E39" s="6" t="s">
        <v>137</v>
      </c>
      <c r="F39" s="17" t="s">
        <v>362</v>
      </c>
      <c r="G39" s="13" t="s">
        <v>314</v>
      </c>
      <c r="H39" s="13" t="s">
        <v>361</v>
      </c>
    </row>
    <row r="40" spans="1:8" ht="32">
      <c r="A40" s="6">
        <v>39</v>
      </c>
      <c r="B40" s="7" t="s">
        <v>18</v>
      </c>
      <c r="C40" s="6" t="s">
        <v>138</v>
      </c>
      <c r="D40" s="6" t="s">
        <v>139</v>
      </c>
      <c r="E40" s="6" t="s">
        <v>140</v>
      </c>
      <c r="F40" s="17" t="s">
        <v>363</v>
      </c>
      <c r="G40" s="13" t="s">
        <v>314</v>
      </c>
      <c r="H40" s="13"/>
    </row>
    <row r="41" spans="1:8" ht="48">
      <c r="A41" s="6">
        <v>40</v>
      </c>
      <c r="B41" s="7" t="s">
        <v>18</v>
      </c>
      <c r="C41" s="6" t="s">
        <v>141</v>
      </c>
      <c r="D41" s="6" t="s">
        <v>142</v>
      </c>
      <c r="E41" s="13" t="s">
        <v>378</v>
      </c>
      <c r="F41" s="17" t="s">
        <v>364</v>
      </c>
      <c r="G41" s="13" t="s">
        <v>314</v>
      </c>
      <c r="H41" s="13" t="s">
        <v>361</v>
      </c>
    </row>
    <row r="42" spans="1:8" ht="48">
      <c r="A42" s="6">
        <v>41</v>
      </c>
      <c r="B42" s="7" t="s">
        <v>18</v>
      </c>
      <c r="C42" s="6" t="s">
        <v>143</v>
      </c>
      <c r="D42" s="6" t="s">
        <v>144</v>
      </c>
      <c r="E42" s="6" t="s">
        <v>145</v>
      </c>
      <c r="F42" s="17" t="s">
        <v>365</v>
      </c>
      <c r="G42" s="13" t="s">
        <v>314</v>
      </c>
      <c r="H42" s="13"/>
    </row>
    <row r="43" spans="1:8" ht="48">
      <c r="A43" s="6">
        <v>42</v>
      </c>
      <c r="B43" s="7" t="s">
        <v>54</v>
      </c>
      <c r="C43" s="6" t="s">
        <v>146</v>
      </c>
      <c r="D43" s="6" t="s">
        <v>147</v>
      </c>
      <c r="E43" s="6" t="s">
        <v>148</v>
      </c>
      <c r="F43" s="17" t="s">
        <v>366</v>
      </c>
      <c r="G43" s="13" t="s">
        <v>314</v>
      </c>
      <c r="H43" s="13"/>
    </row>
    <row r="44" spans="1:8" ht="32">
      <c r="A44" s="6">
        <v>43</v>
      </c>
      <c r="B44" s="7" t="s">
        <v>54</v>
      </c>
      <c r="C44" s="6" t="s">
        <v>149</v>
      </c>
      <c r="D44" s="6" t="s">
        <v>150</v>
      </c>
      <c r="E44" s="6" t="s">
        <v>151</v>
      </c>
      <c r="F44" s="17" t="s">
        <v>367</v>
      </c>
      <c r="G44" s="13" t="s">
        <v>314</v>
      </c>
      <c r="H44" s="13" t="s">
        <v>361</v>
      </c>
    </row>
    <row r="45" spans="1:8" ht="48">
      <c r="A45" s="6">
        <v>44</v>
      </c>
      <c r="B45" s="7" t="s">
        <v>54</v>
      </c>
      <c r="C45" s="6" t="s">
        <v>152</v>
      </c>
      <c r="D45" s="6" t="s">
        <v>153</v>
      </c>
      <c r="E45" s="6" t="s">
        <v>154</v>
      </c>
      <c r="F45" s="17" t="s">
        <v>368</v>
      </c>
      <c r="G45" s="13" t="s">
        <v>314</v>
      </c>
      <c r="H45" s="13" t="s">
        <v>361</v>
      </c>
    </row>
    <row r="46" spans="1:8" ht="25">
      <c r="A46" s="6">
        <v>45</v>
      </c>
      <c r="B46" s="7" t="s">
        <v>86</v>
      </c>
      <c r="C46" s="6" t="s">
        <v>155</v>
      </c>
      <c r="D46" s="6" t="s">
        <v>156</v>
      </c>
      <c r="E46" s="6" t="s">
        <v>157</v>
      </c>
      <c r="F46" s="13" t="s">
        <v>369</v>
      </c>
      <c r="G46" s="13" t="s">
        <v>314</v>
      </c>
      <c r="H46" s="13"/>
    </row>
    <row r="47" spans="1:8" ht="32">
      <c r="A47" s="6">
        <v>46</v>
      </c>
      <c r="B47" s="7" t="s">
        <v>86</v>
      </c>
      <c r="C47" s="6" t="s">
        <v>158</v>
      </c>
      <c r="D47" s="6" t="s">
        <v>159</v>
      </c>
      <c r="E47" s="6" t="s">
        <v>160</v>
      </c>
      <c r="F47" s="17" t="s">
        <v>370</v>
      </c>
      <c r="G47" s="13" t="s">
        <v>314</v>
      </c>
      <c r="H47" s="13"/>
    </row>
    <row r="48" spans="1:8" ht="48">
      <c r="A48" s="6">
        <v>47</v>
      </c>
      <c r="B48" s="7" t="s">
        <v>122</v>
      </c>
      <c r="C48" s="6" t="s">
        <v>161</v>
      </c>
      <c r="D48" s="6" t="s">
        <v>162</v>
      </c>
      <c r="E48" s="6" t="s">
        <v>163</v>
      </c>
      <c r="F48" s="17" t="s">
        <v>371</v>
      </c>
      <c r="G48" s="13" t="s">
        <v>314</v>
      </c>
      <c r="H48" s="13" t="s">
        <v>361</v>
      </c>
    </row>
    <row r="49" spans="1:8" ht="25">
      <c r="A49" s="6">
        <v>48</v>
      </c>
      <c r="B49" s="7" t="s">
        <v>96</v>
      </c>
      <c r="C49" s="6" t="s">
        <v>164</v>
      </c>
      <c r="D49" s="6" t="s">
        <v>165</v>
      </c>
      <c r="E49" s="6" t="s">
        <v>166</v>
      </c>
      <c r="F49" s="17" t="s">
        <v>372</v>
      </c>
      <c r="G49" s="13" t="s">
        <v>314</v>
      </c>
      <c r="H49" s="13"/>
    </row>
    <row r="50" spans="1:8" ht="32">
      <c r="A50" s="6">
        <v>49</v>
      </c>
      <c r="B50" s="7" t="s">
        <v>96</v>
      </c>
      <c r="C50" s="6" t="s">
        <v>167</v>
      </c>
      <c r="D50" s="6" t="s">
        <v>168</v>
      </c>
      <c r="E50" s="6" t="s">
        <v>169</v>
      </c>
      <c r="F50" s="17" t="s">
        <v>373</v>
      </c>
      <c r="G50" s="13" t="s">
        <v>314</v>
      </c>
      <c r="H50" s="13"/>
    </row>
    <row r="51" spans="1:8" ht="64">
      <c r="A51" s="6">
        <v>50</v>
      </c>
      <c r="B51" s="7" t="s">
        <v>73</v>
      </c>
      <c r="C51" s="6" t="s">
        <v>170</v>
      </c>
      <c r="D51" s="6" t="s">
        <v>171</v>
      </c>
      <c r="E51" s="6" t="s">
        <v>172</v>
      </c>
      <c r="F51" s="17" t="s">
        <v>374</v>
      </c>
      <c r="G51" s="13" t="s">
        <v>314</v>
      </c>
      <c r="H51" s="13" t="s">
        <v>375</v>
      </c>
    </row>
    <row r="52" spans="1:8" ht="48">
      <c r="A52" s="6">
        <v>51</v>
      </c>
      <c r="B52" s="7" t="s">
        <v>18</v>
      </c>
      <c r="C52" s="6" t="s">
        <v>173</v>
      </c>
      <c r="D52" s="13" t="s">
        <v>376</v>
      </c>
      <c r="E52" s="13" t="s">
        <v>377</v>
      </c>
      <c r="F52" s="17" t="s">
        <v>379</v>
      </c>
      <c r="G52" s="6" t="s">
        <v>314</v>
      </c>
      <c r="H52" s="6"/>
    </row>
    <row r="53" spans="1:8" ht="32">
      <c r="A53" s="6">
        <v>52</v>
      </c>
      <c r="B53" s="7" t="s">
        <v>18</v>
      </c>
      <c r="C53" s="6" t="s">
        <v>174</v>
      </c>
      <c r="D53" s="13" t="s">
        <v>175</v>
      </c>
      <c r="E53" s="6" t="s">
        <v>176</v>
      </c>
      <c r="F53" s="17" t="s">
        <v>380</v>
      </c>
      <c r="G53" s="6" t="s">
        <v>314</v>
      </c>
      <c r="H53" s="13" t="s">
        <v>425</v>
      </c>
    </row>
    <row r="54" spans="1:8" ht="25">
      <c r="A54" s="6">
        <v>53</v>
      </c>
      <c r="B54" s="7" t="s">
        <v>18</v>
      </c>
      <c r="C54" s="6" t="s">
        <v>177</v>
      </c>
      <c r="D54" s="13" t="s">
        <v>178</v>
      </c>
      <c r="E54" s="6" t="s">
        <v>179</v>
      </c>
      <c r="F54" s="15" t="s">
        <v>381</v>
      </c>
      <c r="G54" s="6" t="s">
        <v>314</v>
      </c>
      <c r="H54" s="6"/>
    </row>
    <row r="55" spans="1:8" ht="25">
      <c r="A55" s="6">
        <v>54</v>
      </c>
      <c r="B55" s="7" t="s">
        <v>18</v>
      </c>
      <c r="C55" s="6" t="s">
        <v>180</v>
      </c>
      <c r="D55" s="13" t="s">
        <v>181</v>
      </c>
      <c r="E55" s="6" t="s">
        <v>182</v>
      </c>
      <c r="F55" s="15" t="s">
        <v>382</v>
      </c>
      <c r="G55" s="6" t="s">
        <v>314</v>
      </c>
      <c r="H55" s="13" t="s">
        <v>361</v>
      </c>
    </row>
    <row r="56" spans="1:8" ht="25">
      <c r="A56" s="6">
        <v>55</v>
      </c>
      <c r="B56" s="7" t="s">
        <v>18</v>
      </c>
      <c r="C56" s="6" t="s">
        <v>183</v>
      </c>
      <c r="D56" s="13" t="s">
        <v>184</v>
      </c>
      <c r="E56" s="6" t="s">
        <v>185</v>
      </c>
      <c r="F56" s="15" t="s">
        <v>383</v>
      </c>
      <c r="G56" s="6" t="s">
        <v>314</v>
      </c>
      <c r="H56" s="6"/>
    </row>
    <row r="57" spans="1:8" ht="25">
      <c r="A57" s="6">
        <v>56</v>
      </c>
      <c r="B57" s="7" t="s">
        <v>18</v>
      </c>
      <c r="C57" s="6" t="s">
        <v>186</v>
      </c>
      <c r="D57" s="13" t="s">
        <v>384</v>
      </c>
      <c r="E57" s="6" t="s">
        <v>187</v>
      </c>
      <c r="F57" s="15" t="s">
        <v>385</v>
      </c>
      <c r="G57" s="6" t="s">
        <v>314</v>
      </c>
      <c r="H57" s="6"/>
    </row>
    <row r="58" spans="1:8" ht="25">
      <c r="A58" s="6">
        <v>57</v>
      </c>
      <c r="B58" s="7" t="s">
        <v>18</v>
      </c>
      <c r="C58" s="6" t="s">
        <v>188</v>
      </c>
      <c r="D58" s="13" t="s">
        <v>189</v>
      </c>
      <c r="E58" s="6" t="s">
        <v>190</v>
      </c>
      <c r="F58" s="15" t="s">
        <v>386</v>
      </c>
      <c r="G58" s="6" t="s">
        <v>314</v>
      </c>
      <c r="H58" s="13" t="s">
        <v>361</v>
      </c>
    </row>
    <row r="59" spans="1:8">
      <c r="A59" s="6">
        <v>58</v>
      </c>
      <c r="B59" s="7" t="s">
        <v>18</v>
      </c>
      <c r="C59" s="6" t="s">
        <v>191</v>
      </c>
      <c r="D59" s="13" t="s">
        <v>192</v>
      </c>
      <c r="E59" s="6" t="s">
        <v>193</v>
      </c>
      <c r="F59" s="14" t="s">
        <v>387</v>
      </c>
      <c r="G59" s="6" t="s">
        <v>314</v>
      </c>
      <c r="H59" s="6"/>
    </row>
    <row r="60" spans="1:8">
      <c r="A60" s="6">
        <v>59</v>
      </c>
      <c r="B60" s="7" t="s">
        <v>18</v>
      </c>
      <c r="C60" s="6" t="s">
        <v>194</v>
      </c>
      <c r="D60" s="13" t="s">
        <v>195</v>
      </c>
      <c r="E60" s="6" t="s">
        <v>196</v>
      </c>
      <c r="F60" s="14" t="s">
        <v>388</v>
      </c>
      <c r="G60" s="6" t="s">
        <v>314</v>
      </c>
      <c r="H60" s="6"/>
    </row>
    <row r="61" spans="1:8">
      <c r="A61" s="6">
        <v>60</v>
      </c>
      <c r="B61" s="7" t="s">
        <v>18</v>
      </c>
      <c r="C61" s="6" t="s">
        <v>197</v>
      </c>
      <c r="D61" s="13" t="s">
        <v>198</v>
      </c>
      <c r="E61" s="6" t="s">
        <v>199</v>
      </c>
      <c r="F61" s="14" t="s">
        <v>389</v>
      </c>
      <c r="G61" s="6" t="s">
        <v>314</v>
      </c>
      <c r="H61" s="6"/>
    </row>
    <row r="62" spans="1:8" ht="25">
      <c r="A62" s="6">
        <v>61</v>
      </c>
      <c r="B62" s="7" t="s">
        <v>18</v>
      </c>
      <c r="C62" s="6" t="s">
        <v>200</v>
      </c>
      <c r="D62" s="13" t="s">
        <v>201</v>
      </c>
      <c r="E62" s="6" t="s">
        <v>202</v>
      </c>
      <c r="F62" s="14" t="s">
        <v>390</v>
      </c>
      <c r="G62" s="6" t="s">
        <v>314</v>
      </c>
      <c r="H62" s="6"/>
    </row>
    <row r="63" spans="1:8" ht="25">
      <c r="A63" s="6">
        <v>62</v>
      </c>
      <c r="B63" s="7" t="s">
        <v>18</v>
      </c>
      <c r="C63" s="6" t="s">
        <v>203</v>
      </c>
      <c r="D63" s="13" t="s">
        <v>204</v>
      </c>
      <c r="E63" s="6" t="s">
        <v>205</v>
      </c>
      <c r="F63" s="15" t="s">
        <v>391</v>
      </c>
      <c r="G63" s="6" t="s">
        <v>314</v>
      </c>
      <c r="H63" s="6"/>
    </row>
    <row r="64" spans="1:8" ht="23.5">
      <c r="A64" s="6">
        <v>63</v>
      </c>
      <c r="B64" s="7" t="s">
        <v>54</v>
      </c>
      <c r="C64" s="6" t="s">
        <v>206</v>
      </c>
      <c r="D64" s="13" t="s">
        <v>207</v>
      </c>
      <c r="E64" s="6" t="s">
        <v>208</v>
      </c>
      <c r="F64" s="15" t="s">
        <v>392</v>
      </c>
      <c r="G64" s="6" t="s">
        <v>314</v>
      </c>
      <c r="H64" s="13" t="s">
        <v>361</v>
      </c>
    </row>
    <row r="65" spans="1:8" ht="23.5">
      <c r="A65" s="6">
        <v>64</v>
      </c>
      <c r="B65" s="7" t="s">
        <v>54</v>
      </c>
      <c r="C65" s="6" t="s">
        <v>209</v>
      </c>
      <c r="D65" s="13" t="s">
        <v>210</v>
      </c>
      <c r="E65" s="6" t="s">
        <v>211</v>
      </c>
      <c r="F65" s="15" t="s">
        <v>393</v>
      </c>
      <c r="G65" s="6" t="s">
        <v>314</v>
      </c>
      <c r="H65" s="13" t="s">
        <v>361</v>
      </c>
    </row>
    <row r="66" spans="1:8" ht="25">
      <c r="A66" s="6">
        <v>65</v>
      </c>
      <c r="B66" s="7" t="s">
        <v>54</v>
      </c>
      <c r="C66" s="6" t="s">
        <v>212</v>
      </c>
      <c r="D66" s="13" t="s">
        <v>213</v>
      </c>
      <c r="E66" s="6" t="s">
        <v>214</v>
      </c>
      <c r="F66" s="15" t="s">
        <v>394</v>
      </c>
      <c r="G66" s="6" t="s">
        <v>314</v>
      </c>
      <c r="H66" s="6"/>
    </row>
    <row r="67" spans="1:8">
      <c r="A67" s="6">
        <v>66</v>
      </c>
      <c r="B67" s="7" t="s">
        <v>54</v>
      </c>
      <c r="C67" s="6" t="s">
        <v>215</v>
      </c>
      <c r="D67" s="13" t="s">
        <v>216</v>
      </c>
      <c r="E67" s="6" t="s">
        <v>217</v>
      </c>
      <c r="F67" s="14" t="s">
        <v>395</v>
      </c>
      <c r="G67" s="6" t="s">
        <v>314</v>
      </c>
      <c r="H67" s="13" t="s">
        <v>361</v>
      </c>
    </row>
    <row r="68" spans="1:8" ht="25">
      <c r="A68" s="6">
        <v>67</v>
      </c>
      <c r="B68" s="7" t="s">
        <v>54</v>
      </c>
      <c r="C68" s="6" t="s">
        <v>218</v>
      </c>
      <c r="D68" s="13" t="s">
        <v>219</v>
      </c>
      <c r="E68" s="6" t="s">
        <v>220</v>
      </c>
      <c r="F68" s="14" t="s">
        <v>396</v>
      </c>
      <c r="G68" s="6" t="s">
        <v>315</v>
      </c>
      <c r="H68" s="6"/>
    </row>
    <row r="69" spans="1:8" ht="23.5">
      <c r="A69" s="6">
        <v>68</v>
      </c>
      <c r="B69" s="7" t="s">
        <v>54</v>
      </c>
      <c r="C69" s="6" t="s">
        <v>221</v>
      </c>
      <c r="D69" s="13" t="s">
        <v>222</v>
      </c>
      <c r="E69" s="6" t="s">
        <v>223</v>
      </c>
      <c r="F69" s="15" t="s">
        <v>397</v>
      </c>
      <c r="G69" s="6" t="s">
        <v>314</v>
      </c>
      <c r="H69" s="6"/>
    </row>
    <row r="70" spans="1:8" ht="23.5">
      <c r="A70" s="6">
        <v>69</v>
      </c>
      <c r="B70" s="7" t="s">
        <v>54</v>
      </c>
      <c r="C70" s="6" t="s">
        <v>224</v>
      </c>
      <c r="D70" s="13" t="s">
        <v>225</v>
      </c>
      <c r="E70" s="6" t="s">
        <v>226</v>
      </c>
      <c r="F70" s="15" t="s">
        <v>426</v>
      </c>
      <c r="G70" s="6" t="s">
        <v>314</v>
      </c>
      <c r="H70" s="6"/>
    </row>
    <row r="71" spans="1:8" ht="25">
      <c r="A71" s="6">
        <v>70</v>
      </c>
      <c r="B71" s="7" t="s">
        <v>54</v>
      </c>
      <c r="C71" s="6" t="s">
        <v>227</v>
      </c>
      <c r="D71" s="13" t="s">
        <v>228</v>
      </c>
      <c r="E71" s="6" t="s">
        <v>229</v>
      </c>
      <c r="F71" s="15" t="s">
        <v>398</v>
      </c>
      <c r="G71" s="6" t="s">
        <v>314</v>
      </c>
      <c r="H71" s="6"/>
    </row>
    <row r="72" spans="1:8" ht="46.5">
      <c r="A72" s="6">
        <v>71</v>
      </c>
      <c r="B72" s="7" t="s">
        <v>73</v>
      </c>
      <c r="C72" s="6" t="s">
        <v>230</v>
      </c>
      <c r="D72" s="13" t="s">
        <v>231</v>
      </c>
      <c r="E72" s="6" t="s">
        <v>232</v>
      </c>
      <c r="F72" s="15" t="s">
        <v>399</v>
      </c>
      <c r="G72" s="6" t="s">
        <v>314</v>
      </c>
      <c r="H72" s="6"/>
    </row>
    <row r="73" spans="1:8" ht="46.5">
      <c r="A73" s="6">
        <v>72</v>
      </c>
      <c r="B73" s="7" t="s">
        <v>73</v>
      </c>
      <c r="C73" s="6" t="s">
        <v>233</v>
      </c>
      <c r="D73" s="13" t="s">
        <v>234</v>
      </c>
      <c r="E73" s="6" t="s">
        <v>235</v>
      </c>
      <c r="F73" s="15" t="s">
        <v>431</v>
      </c>
      <c r="G73" s="6" t="s">
        <v>314</v>
      </c>
      <c r="H73" s="6"/>
    </row>
    <row r="74" spans="1:8" ht="224">
      <c r="A74" s="6">
        <v>73</v>
      </c>
      <c r="B74" s="7" t="s">
        <v>73</v>
      </c>
      <c r="C74" s="6" t="s">
        <v>236</v>
      </c>
      <c r="D74" s="13" t="s">
        <v>237</v>
      </c>
      <c r="E74" s="6" t="s">
        <v>232</v>
      </c>
      <c r="F74" s="17" t="s">
        <v>400</v>
      </c>
      <c r="G74" s="6" t="s">
        <v>314</v>
      </c>
      <c r="H74" s="6"/>
    </row>
    <row r="75" spans="1:8" ht="400">
      <c r="A75" s="6">
        <v>74</v>
      </c>
      <c r="B75" s="7" t="s">
        <v>73</v>
      </c>
      <c r="C75" s="6" t="s">
        <v>238</v>
      </c>
      <c r="D75" s="13" t="s">
        <v>239</v>
      </c>
      <c r="E75" s="6" t="s">
        <v>232</v>
      </c>
      <c r="F75" s="17" t="s">
        <v>401</v>
      </c>
      <c r="G75" s="13" t="s">
        <v>314</v>
      </c>
      <c r="H75" s="6"/>
    </row>
    <row r="76" spans="1:8" ht="32">
      <c r="A76" s="6">
        <v>75</v>
      </c>
      <c r="B76" s="7" t="s">
        <v>86</v>
      </c>
      <c r="C76" s="6" t="s">
        <v>240</v>
      </c>
      <c r="D76" s="13" t="s">
        <v>241</v>
      </c>
      <c r="E76" s="6" t="s">
        <v>242</v>
      </c>
      <c r="F76" s="17" t="s">
        <v>403</v>
      </c>
      <c r="G76" s="6" t="s">
        <v>314</v>
      </c>
      <c r="H76" s="6"/>
    </row>
    <row r="77" spans="1:8" ht="32">
      <c r="A77" s="6">
        <v>76</v>
      </c>
      <c r="B77" s="7" t="s">
        <v>86</v>
      </c>
      <c r="C77" s="6" t="s">
        <v>243</v>
      </c>
      <c r="D77" s="13" t="s">
        <v>244</v>
      </c>
      <c r="E77" s="6" t="s">
        <v>245</v>
      </c>
      <c r="F77" s="17" t="s">
        <v>402</v>
      </c>
      <c r="G77" s="6" t="s">
        <v>314</v>
      </c>
      <c r="H77" s="6"/>
    </row>
    <row r="78" spans="1:8" ht="16">
      <c r="A78" s="6">
        <v>77</v>
      </c>
      <c r="B78" s="7" t="s">
        <v>86</v>
      </c>
      <c r="C78" s="6" t="s">
        <v>246</v>
      </c>
      <c r="D78" s="13" t="s">
        <v>247</v>
      </c>
      <c r="E78" s="6" t="s">
        <v>248</v>
      </c>
      <c r="F78" s="17" t="s">
        <v>404</v>
      </c>
      <c r="G78" s="6" t="s">
        <v>314</v>
      </c>
      <c r="H78" s="6"/>
    </row>
    <row r="79" spans="1:8" ht="32">
      <c r="A79" s="6">
        <v>78</v>
      </c>
      <c r="B79" s="7" t="s">
        <v>86</v>
      </c>
      <c r="C79" s="6" t="s">
        <v>249</v>
      </c>
      <c r="D79" s="13" t="s">
        <v>250</v>
      </c>
      <c r="E79" s="6" t="s">
        <v>251</v>
      </c>
      <c r="F79" s="17" t="s">
        <v>405</v>
      </c>
      <c r="G79" s="6" t="s">
        <v>314</v>
      </c>
      <c r="H79" s="6"/>
    </row>
    <row r="80" spans="1:8">
      <c r="A80" s="6">
        <v>79</v>
      </c>
      <c r="B80" s="7" t="s">
        <v>96</v>
      </c>
      <c r="C80" s="6" t="s">
        <v>252</v>
      </c>
      <c r="D80" s="13" t="s">
        <v>253</v>
      </c>
      <c r="E80" s="6" t="s">
        <v>254</v>
      </c>
      <c r="F80" s="14" t="s">
        <v>406</v>
      </c>
      <c r="G80" s="6" t="s">
        <v>314</v>
      </c>
      <c r="H80" s="6"/>
    </row>
    <row r="81" spans="1:8" ht="25">
      <c r="A81" s="6">
        <v>80</v>
      </c>
      <c r="B81" s="7" t="s">
        <v>86</v>
      </c>
      <c r="C81" s="13" t="s">
        <v>427</v>
      </c>
      <c r="D81" s="20" t="s">
        <v>429</v>
      </c>
      <c r="E81" s="20" t="s">
        <v>428</v>
      </c>
      <c r="F81" s="21" t="s">
        <v>430</v>
      </c>
      <c r="G81" s="22" t="s">
        <v>314</v>
      </c>
      <c r="H81" s="6"/>
    </row>
    <row r="82" spans="1:8">
      <c r="A82" s="6">
        <v>81</v>
      </c>
      <c r="B82" s="7" t="s">
        <v>96</v>
      </c>
      <c r="C82" s="6" t="s">
        <v>255</v>
      </c>
      <c r="D82" s="13" t="s">
        <v>256</v>
      </c>
      <c r="E82" s="6" t="s">
        <v>257</v>
      </c>
      <c r="F82" s="14" t="s">
        <v>407</v>
      </c>
      <c r="G82" s="6" t="s">
        <v>314</v>
      </c>
      <c r="H82" s="6"/>
    </row>
    <row r="83" spans="1:8" ht="23.5">
      <c r="A83" s="6">
        <v>82</v>
      </c>
      <c r="B83" s="7" t="s">
        <v>96</v>
      </c>
      <c r="C83" s="6" t="s">
        <v>258</v>
      </c>
      <c r="D83" s="13" t="s">
        <v>259</v>
      </c>
      <c r="E83" s="6" t="s">
        <v>260</v>
      </c>
      <c r="F83" s="15" t="s">
        <v>408</v>
      </c>
      <c r="G83" s="6" t="s">
        <v>314</v>
      </c>
      <c r="H83" s="6"/>
    </row>
    <row r="84" spans="1:8">
      <c r="A84" s="6">
        <v>83</v>
      </c>
      <c r="B84" s="7" t="s">
        <v>96</v>
      </c>
      <c r="C84" s="6" t="s">
        <v>261</v>
      </c>
      <c r="D84" s="13" t="s">
        <v>262</v>
      </c>
      <c r="E84" s="6" t="s">
        <v>263</v>
      </c>
      <c r="F84" s="14" t="s">
        <v>409</v>
      </c>
      <c r="G84" s="6" t="s">
        <v>314</v>
      </c>
      <c r="H84" s="6"/>
    </row>
    <row r="85" spans="1:8" ht="23.5">
      <c r="A85" s="6">
        <v>84</v>
      </c>
      <c r="B85" s="7" t="s">
        <v>96</v>
      </c>
      <c r="C85" s="6" t="s">
        <v>264</v>
      </c>
      <c r="D85" s="13" t="s">
        <v>265</v>
      </c>
      <c r="E85" s="6" t="s">
        <v>266</v>
      </c>
      <c r="F85" s="15" t="s">
        <v>410</v>
      </c>
      <c r="G85" s="6" t="s">
        <v>314</v>
      </c>
      <c r="H85" s="6"/>
    </row>
    <row r="86" spans="1:8">
      <c r="A86" s="6">
        <v>85</v>
      </c>
      <c r="B86" s="7" t="s">
        <v>96</v>
      </c>
      <c r="C86" s="6" t="s">
        <v>267</v>
      </c>
      <c r="D86" s="13" t="s">
        <v>268</v>
      </c>
      <c r="E86" s="6" t="s">
        <v>269</v>
      </c>
      <c r="F86" s="14" t="s">
        <v>411</v>
      </c>
      <c r="G86" s="6" t="s">
        <v>314</v>
      </c>
      <c r="H86" s="6"/>
    </row>
    <row r="87" spans="1:8">
      <c r="A87" s="6">
        <v>86</v>
      </c>
      <c r="B87" s="7" t="s">
        <v>96</v>
      </c>
      <c r="C87" s="6" t="s">
        <v>270</v>
      </c>
      <c r="D87" s="13" t="s">
        <v>271</v>
      </c>
      <c r="E87" s="6" t="s">
        <v>272</v>
      </c>
      <c r="F87" s="14" t="s">
        <v>372</v>
      </c>
      <c r="G87" s="6" t="s">
        <v>314</v>
      </c>
      <c r="H87" s="6"/>
    </row>
    <row r="88" spans="1:8" ht="26">
      <c r="A88" s="6">
        <v>87</v>
      </c>
      <c r="B88" s="7" t="s">
        <v>109</v>
      </c>
      <c r="C88" s="6" t="s">
        <v>273</v>
      </c>
      <c r="D88" s="13" t="s">
        <v>274</v>
      </c>
      <c r="E88" s="6" t="s">
        <v>275</v>
      </c>
      <c r="F88" s="14" t="s">
        <v>412</v>
      </c>
      <c r="G88" s="6" t="s">
        <v>314</v>
      </c>
      <c r="H88" s="13" t="s">
        <v>361</v>
      </c>
    </row>
    <row r="89" spans="1:8" ht="87">
      <c r="A89" s="6">
        <v>88</v>
      </c>
      <c r="B89" s="7" t="s">
        <v>109</v>
      </c>
      <c r="C89" s="6" t="s">
        <v>276</v>
      </c>
      <c r="D89" s="13" t="s">
        <v>277</v>
      </c>
      <c r="E89" s="6" t="s">
        <v>278</v>
      </c>
      <c r="F89" s="16" t="s">
        <v>432</v>
      </c>
      <c r="G89" s="6" t="s">
        <v>314</v>
      </c>
      <c r="H89" s="6"/>
    </row>
    <row r="90" spans="1:8" ht="32">
      <c r="A90" s="6">
        <v>89</v>
      </c>
      <c r="B90" s="7" t="s">
        <v>109</v>
      </c>
      <c r="C90" s="6" t="s">
        <v>279</v>
      </c>
      <c r="D90" s="13" t="s">
        <v>280</v>
      </c>
      <c r="E90" s="6" t="s">
        <v>281</v>
      </c>
      <c r="F90" s="17" t="s">
        <v>413</v>
      </c>
      <c r="G90" s="6" t="s">
        <v>314</v>
      </c>
      <c r="H90" s="6"/>
    </row>
    <row r="91" spans="1:8" ht="26">
      <c r="A91" s="6">
        <v>90</v>
      </c>
      <c r="B91" s="7" t="s">
        <v>109</v>
      </c>
      <c r="C91" s="6" t="s">
        <v>282</v>
      </c>
      <c r="D91" s="13" t="s">
        <v>283</v>
      </c>
      <c r="E91" s="6" t="s">
        <v>284</v>
      </c>
      <c r="F91" s="14" t="s">
        <v>414</v>
      </c>
      <c r="G91" s="6" t="s">
        <v>315</v>
      </c>
      <c r="H91" s="6"/>
    </row>
    <row r="92" spans="1:8" ht="101.5">
      <c r="A92" s="6">
        <v>91</v>
      </c>
      <c r="B92" s="7" t="s">
        <v>109</v>
      </c>
      <c r="C92" s="6" t="s">
        <v>285</v>
      </c>
      <c r="D92" s="13" t="s">
        <v>286</v>
      </c>
      <c r="E92" s="6" t="s">
        <v>287</v>
      </c>
      <c r="F92" s="16" t="s">
        <v>415</v>
      </c>
      <c r="G92" s="6" t="s">
        <v>314</v>
      </c>
      <c r="H92" s="6"/>
    </row>
    <row r="93" spans="1:8" ht="26">
      <c r="A93" s="6">
        <v>92</v>
      </c>
      <c r="B93" s="7" t="s">
        <v>109</v>
      </c>
      <c r="C93" s="6" t="s">
        <v>288</v>
      </c>
      <c r="D93" s="13" t="s">
        <v>289</v>
      </c>
      <c r="E93" s="6" t="s">
        <v>290</v>
      </c>
      <c r="F93" s="15" t="s">
        <v>416</v>
      </c>
      <c r="G93" s="6" t="s">
        <v>314</v>
      </c>
      <c r="H93" s="6"/>
    </row>
    <row r="94" spans="1:8" ht="25">
      <c r="A94" s="6">
        <v>93</v>
      </c>
      <c r="B94" s="7" t="s">
        <v>122</v>
      </c>
      <c r="C94" s="6" t="s">
        <v>291</v>
      </c>
      <c r="D94" s="13" t="s">
        <v>292</v>
      </c>
      <c r="E94" s="6" t="s">
        <v>293</v>
      </c>
      <c r="F94" s="15" t="s">
        <v>417</v>
      </c>
      <c r="G94" s="6" t="s">
        <v>314</v>
      </c>
      <c r="H94" s="13" t="s">
        <v>361</v>
      </c>
    </row>
    <row r="95" spans="1:8" ht="35">
      <c r="A95" s="6">
        <v>94</v>
      </c>
      <c r="B95" s="7" t="s">
        <v>122</v>
      </c>
      <c r="C95" s="6" t="s">
        <v>294</v>
      </c>
      <c r="D95" s="13" t="s">
        <v>295</v>
      </c>
      <c r="E95" s="6" t="s">
        <v>296</v>
      </c>
      <c r="F95" s="15" t="s">
        <v>418</v>
      </c>
      <c r="G95" s="6" t="s">
        <v>314</v>
      </c>
      <c r="H95" s="13" t="s">
        <v>361</v>
      </c>
    </row>
    <row r="96" spans="1:8" ht="25">
      <c r="A96" s="6">
        <v>95</v>
      </c>
      <c r="B96" s="7" t="s">
        <v>122</v>
      </c>
      <c r="C96" s="6" t="s">
        <v>297</v>
      </c>
      <c r="D96" s="13" t="s">
        <v>298</v>
      </c>
      <c r="E96" s="6" t="s">
        <v>299</v>
      </c>
      <c r="F96" s="15" t="s">
        <v>419</v>
      </c>
      <c r="G96" s="6" t="s">
        <v>314</v>
      </c>
      <c r="H96" s="13" t="s">
        <v>361</v>
      </c>
    </row>
    <row r="97" spans="1:8" ht="25">
      <c r="A97" s="6">
        <v>96</v>
      </c>
      <c r="B97" s="7" t="s">
        <v>122</v>
      </c>
      <c r="C97" s="6" t="s">
        <v>300</v>
      </c>
      <c r="D97" s="13" t="s">
        <v>301</v>
      </c>
      <c r="E97" s="6" t="s">
        <v>302</v>
      </c>
      <c r="F97" s="15" t="s">
        <v>420</v>
      </c>
      <c r="G97" s="6" t="s">
        <v>314</v>
      </c>
      <c r="H97" s="13" t="s">
        <v>361</v>
      </c>
    </row>
    <row r="98" spans="1:8" ht="35">
      <c r="A98" s="6">
        <v>97</v>
      </c>
      <c r="B98" s="7" t="s">
        <v>122</v>
      </c>
      <c r="C98" s="6" t="s">
        <v>303</v>
      </c>
      <c r="D98" s="13" t="s">
        <v>304</v>
      </c>
      <c r="E98" s="6" t="s">
        <v>305</v>
      </c>
      <c r="F98" s="15" t="s">
        <v>421</v>
      </c>
      <c r="G98" s="6" t="s">
        <v>314</v>
      </c>
      <c r="H98" s="13" t="s">
        <v>361</v>
      </c>
    </row>
    <row r="99" spans="1:8" ht="25">
      <c r="A99" s="6">
        <v>98</v>
      </c>
      <c r="B99" s="7" t="s">
        <v>122</v>
      </c>
      <c r="C99" s="6" t="s">
        <v>306</v>
      </c>
      <c r="D99" s="13" t="s">
        <v>433</v>
      </c>
      <c r="E99" s="6" t="s">
        <v>307</v>
      </c>
      <c r="F99" s="15" t="s">
        <v>434</v>
      </c>
      <c r="G99" s="6" t="s">
        <v>314</v>
      </c>
      <c r="H99" s="13" t="s">
        <v>361</v>
      </c>
    </row>
    <row r="100" spans="1:8" ht="25">
      <c r="A100" s="6">
        <v>99</v>
      </c>
      <c r="B100" s="7" t="s">
        <v>122</v>
      </c>
      <c r="C100" s="6" t="s">
        <v>308</v>
      </c>
      <c r="D100" s="13" t="s">
        <v>309</v>
      </c>
      <c r="E100" s="6" t="s">
        <v>310</v>
      </c>
      <c r="F100" s="15" t="s">
        <v>422</v>
      </c>
      <c r="G100" s="6" t="s">
        <v>314</v>
      </c>
      <c r="H100" s="13" t="s">
        <v>361</v>
      </c>
    </row>
    <row r="101" spans="1:8" ht="35">
      <c r="A101" s="6">
        <v>100</v>
      </c>
      <c r="B101" s="7" t="s">
        <v>122</v>
      </c>
      <c r="C101" s="6" t="s">
        <v>311</v>
      </c>
      <c r="D101" s="13" t="s">
        <v>423</v>
      </c>
      <c r="E101" s="6" t="s">
        <v>293</v>
      </c>
      <c r="F101" s="15" t="s">
        <v>424</v>
      </c>
      <c r="G101" s="6" t="s">
        <v>314</v>
      </c>
      <c r="H101" s="13" t="s">
        <v>361</v>
      </c>
    </row>
  </sheetData>
  <conditionalFormatting sqref="G1:G1048576">
    <cfRule type="containsText" dxfId="0" priority="1" operator="containsText" text="ناموفق">
      <formula>NOT(ISERROR(SEARCH("ناموفق",G1)))</formula>
    </cfRule>
    <cfRule type="containsText" priority="2" operator="containsText" text="بررسی">
      <formula>NOT(ISERROR(SEARCH("بررسی",G1)))</formula>
    </cfRule>
  </conditionalFormatting>
  <dataValidations count="2">
    <dataValidation type="list" allowBlank="1" sqref="G2:G51">
      <formula1>"موفق,ناموفق,نیاز به بررسی"</formula1>
      <formula2>0</formula2>
    </dataValidation>
    <dataValidation type="list" allowBlank="1" sqref="G52:G101">
      <formula1>"موفق,ناموفق,نیاز به بررسی"</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rightToLeft="1" tabSelected="1" zoomScaleNormal="100" workbookViewId="0">
      <selection activeCell="B17" sqref="B17"/>
    </sheetView>
  </sheetViews>
  <sheetFormatPr defaultColWidth="8.6328125" defaultRowHeight="14.5"/>
  <cols>
    <col min="1" max="1" width="24" style="1" customWidth="1"/>
    <col min="2" max="4" width="14" style="1" customWidth="1"/>
    <col min="5" max="5" width="16" style="1" customWidth="1"/>
  </cols>
  <sheetData>
    <row r="1" spans="1:5" ht="17.25" customHeight="1">
      <c r="A1" s="2" t="s">
        <v>312</v>
      </c>
    </row>
    <row r="3" spans="1:5" ht="15" customHeight="1">
      <c r="A3" s="5" t="s">
        <v>11</v>
      </c>
      <c r="B3" s="5" t="s">
        <v>313</v>
      </c>
      <c r="C3" s="5" t="s">
        <v>314</v>
      </c>
      <c r="D3" s="5" t="s">
        <v>315</v>
      </c>
      <c r="E3" s="5" t="s">
        <v>316</v>
      </c>
    </row>
    <row r="4" spans="1:5" ht="15" customHeight="1">
      <c r="A4" s="6" t="s">
        <v>18</v>
      </c>
      <c r="B4" s="8">
        <f>COUNTIF(تست‌ها!$B$2:$B$101,A4)</f>
        <v>29</v>
      </c>
      <c r="C4" s="8">
        <f>COUNTIFS(تست‌ها!$B$2:$B$101,A4,تست‌ها!$G$2:$G$101,"موفق")</f>
        <v>29</v>
      </c>
      <c r="D4" s="8">
        <f>COUNTIFS(تست‌ها!$B$2:$B$101,A4,تست‌ها!$G$2:$G$101,"ناموفق")</f>
        <v>0</v>
      </c>
      <c r="E4" s="9">
        <f t="shared" ref="E4:E11" si="0">IFERROR(C4/B4,0)</f>
        <v>1</v>
      </c>
    </row>
    <row r="5" spans="1:5" ht="15" customHeight="1">
      <c r="A5" s="6" t="s">
        <v>54</v>
      </c>
      <c r="B5" s="8">
        <f>COUNTIF(تست‌ها!$B$2:$B$101,A5)</f>
        <v>17</v>
      </c>
      <c r="C5" s="8">
        <f>COUNTIFS(تست‌ها!$B$2:$B$101,A5,تست‌ها!$G$2:$G$101,"موفق")</f>
        <v>16</v>
      </c>
      <c r="D5" s="8">
        <f>COUNTIFS(تست‌ها!$B$2:$B$101,A5,تست‌ها!$G$2:$G$101,"ناموفق")</f>
        <v>1</v>
      </c>
      <c r="E5" s="9">
        <f t="shared" si="0"/>
        <v>0.94117647058823528</v>
      </c>
    </row>
    <row r="6" spans="1:5" ht="15" customHeight="1">
      <c r="A6" s="6" t="s">
        <v>73</v>
      </c>
      <c r="B6" s="8">
        <f>COUNTIF(تست‌ها!$B$2:$B$101,A6)</f>
        <v>9</v>
      </c>
      <c r="C6" s="8">
        <f>COUNTIFS(تست‌ها!$B$2:$B$101,A6,تست‌ها!$G$2:$G$101,"موفق")</f>
        <v>9</v>
      </c>
      <c r="D6" s="8">
        <f>COUNTIFS(تست‌ها!$B$2:$B$101,A6,تست‌ها!$G$2:$G$101,"ناموفق")</f>
        <v>0</v>
      </c>
      <c r="E6" s="9">
        <f t="shared" si="0"/>
        <v>1</v>
      </c>
    </row>
    <row r="7" spans="1:5" ht="15" customHeight="1">
      <c r="A7" s="6" t="s">
        <v>86</v>
      </c>
      <c r="B7" s="8">
        <f>COUNTIF(تست‌ها!$B$2:$B$101,A7)</f>
        <v>10</v>
      </c>
      <c r="C7" s="8">
        <f>COUNTIFS(تست‌ها!$B$2:$B$101,A7,تست‌ها!$G$2:$G$101,"موفق")</f>
        <v>10</v>
      </c>
      <c r="D7" s="8">
        <f>COUNTIFS(تست‌ها!$B$2:$B$101,A7,تست‌ها!$G$2:$G$101,"ناموفق")</f>
        <v>0</v>
      </c>
      <c r="E7" s="9">
        <f t="shared" si="0"/>
        <v>1</v>
      </c>
    </row>
    <row r="8" spans="1:5" ht="15" customHeight="1">
      <c r="A8" s="6" t="s">
        <v>96</v>
      </c>
      <c r="B8" s="8">
        <f>COUNTIF(تست‌ها!$B$2:$B$101,A8)</f>
        <v>13</v>
      </c>
      <c r="C8" s="8">
        <f>COUNTIFS(تست‌ها!$B$2:$B$101,A8,تست‌ها!$G$2:$G$101,"موفق")</f>
        <v>13</v>
      </c>
      <c r="D8" s="8">
        <f>COUNTIFS(تست‌ها!$B$2:$B$101,A8,تست‌ها!$G$2:$G$101,"ناموفق")</f>
        <v>0</v>
      </c>
      <c r="E8" s="9">
        <f t="shared" si="0"/>
        <v>1</v>
      </c>
    </row>
    <row r="9" spans="1:5" ht="15" customHeight="1">
      <c r="A9" s="6" t="s">
        <v>109</v>
      </c>
      <c r="B9" s="8">
        <f>COUNTIF(تست‌ها!$B$2:$B$101,A9)</f>
        <v>10</v>
      </c>
      <c r="C9" s="8">
        <f>COUNTIFS(تست‌ها!$B$2:$B$101,A9,تست‌ها!$G$2:$G$101,"موفق")</f>
        <v>9</v>
      </c>
      <c r="D9" s="8">
        <f>COUNTIFS(تست‌ها!$B$2:$B$101,A9,تست‌ها!$G$2:$G$101,"ناموفق")</f>
        <v>1</v>
      </c>
      <c r="E9" s="9">
        <f t="shared" si="0"/>
        <v>0.9</v>
      </c>
    </row>
    <row r="10" spans="1:5" ht="15" customHeight="1">
      <c r="A10" s="6" t="s">
        <v>122</v>
      </c>
      <c r="B10" s="8">
        <f>COUNTIF(تست‌ها!$B$2:$B$101,A10)</f>
        <v>12</v>
      </c>
      <c r="C10" s="8">
        <f>COUNTIFS(تست‌ها!$B$2:$B$101,A10,تست‌ها!$G$2:$G$101,"موفق")</f>
        <v>12</v>
      </c>
      <c r="D10" s="8">
        <f>COUNTIFS(تست‌ها!$B$2:$B$101,A10,تست‌ها!$G$2:$G$101,"ناموفق")</f>
        <v>0</v>
      </c>
      <c r="E10" s="9">
        <f t="shared" si="0"/>
        <v>1</v>
      </c>
    </row>
    <row r="11" spans="1:5" ht="15" customHeight="1">
      <c r="A11" s="7" t="s">
        <v>317</v>
      </c>
      <c r="B11" s="10">
        <f>SUM(B4:B10)</f>
        <v>100</v>
      </c>
      <c r="C11" s="10">
        <f>SUM(C4:C10)</f>
        <v>98</v>
      </c>
      <c r="D11" s="10">
        <f>SUM(D4:D10)</f>
        <v>2</v>
      </c>
      <c r="E11" s="11">
        <f t="shared" si="0"/>
        <v>0.98</v>
      </c>
    </row>
    <row r="13" spans="1:5" ht="15" customHeight="1">
      <c r="A13" s="12" t="s">
        <v>437</v>
      </c>
    </row>
    <row r="14" spans="1:5" ht="30" customHeight="1">
      <c r="A14" s="23" t="str">
        <f>"اتوماسیون از بین "&amp;B11&amp;" سوال متنوع، "&amp;C11&amp;" مورد ("&amp;TEXT(E11,"0.0%")&amp;") را بدون خطا و با رفتار درست پاسخ داد."</f>
        <v>اتوماسیون از بین 100 سوال متنوع، 98 مورد (98.0%) را بدون خطا و با رفتار درست پاسخ داد.</v>
      </c>
      <c r="B14" s="23"/>
      <c r="C14" s="23"/>
      <c r="D14" s="23"/>
      <c r="E14" s="23"/>
    </row>
  </sheetData>
  <mergeCells count="1">
    <mergeCell ref="A14:E1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راهنما</vt:lpstr>
      <vt:lpstr>تست‌ها</vt:lpstr>
      <vt:lpstr>خلاصه</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Mona Kheirieh</cp:lastModifiedBy>
  <cp:revision>0</cp:revision>
  <dcterms:created xsi:type="dcterms:W3CDTF">2026-08-15T10:25:59Z</dcterms:created>
  <dcterms:modified xsi:type="dcterms:W3CDTF">2026-08-18T00:26:11Z</dcterms:modified>
  <dc:language>en-US</dc:language>
</cp:coreProperties>
</file>